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isele\Documents\Santander Excel com IA e Claude\Xbox\"/>
    </mc:Choice>
  </mc:AlternateContent>
  <xr:revisionPtr revIDLastSave="0" documentId="13_ncr:1_{F5323C2F-CC06-4444-828F-D02846CD0D1D}" xr6:coauthVersionLast="47" xr6:coauthVersionMax="47" xr10:uidLastSave="{00000000-0000-0000-0000-000000000000}"/>
  <bookViews>
    <workbookView xWindow="-120" yWindow="-120" windowWidth="21840" windowHeight="131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  <definedName name="tbl_annual_total">C̳álculos!$B$10</definedName>
    <definedName name="tbl_easeasonpass_total">C̳álculos!$C$23</definedName>
  </definedNames>
  <calcPr calcId="18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5" i="3" l="1"/>
  <c r="E25" i="3"/>
</calcChain>
</file>

<file path=xl/sharedStrings.xml><?xml version="1.0" encoding="utf-8"?>
<sst xmlns="http://schemas.openxmlformats.org/spreadsheetml/2006/main" count="2021" uniqueCount="324">
  <si>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</si>
  <si>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</si>
  <si>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</si>
  <si>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</si>
  <si>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</si>
  <si>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</si>
  <si>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</si>
  <si>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</si>
  <si>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</si>
  <si>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</si>
  <si>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</si>
  <si>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</si>
  <si>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</si>
  <si>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</si>
  <si>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</si>
  <si>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</si>
  <si>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</si>
  <si>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</si>
  <si>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</si>
  <si>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</si>
  <si>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</si>
  <si>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</si>
  <si>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</si>
  <si>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</si>
  <si>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</si>
  <si>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</si>
  <si>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</si>
  <si>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</si>
  <si>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</si>
  <si>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</si>
  <si>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</si>
  <si>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</si>
  <si>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</si>
  <si>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</si>
  <si>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</si>
  <si>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</si>
  <si>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</si>
  <si>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</si>
  <si>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</si>
  <si>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</si>
  <si>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</si>
  <si>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</si>
  <si>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</si>
  <si>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</si>
  <si>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</si>
  <si>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</si>
  <si>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</si>
  <si>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</si>
  <si>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</si>
  <si>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</si>
  <si>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</si>
  <si>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</si>
  <si>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</si>
  <si>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</si>
  <si>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</si>
  <si>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</si>
  <si>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</si>
  <si>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</si>
  <si>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</si>
  <si>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</si>
  <si>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</si>
  <si>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</si>
  <si>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</si>
  <si>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</si>
  <si>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</si>
  <si>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</si>
  <si>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</si>
  <si>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</si>
  <si>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</si>
  <si>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</si>
  <si>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</si>
  <si>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</si>
  <si>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</si>
  <si>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</si>
  <si>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</si>
  <si>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</si>
  <si>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</si>
  <si>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</si>
  <si>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</si>
  <si>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</si>
  <si>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</si>
  <si>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</si>
  <si>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</si>
  <si>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</si>
  <si>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</si>
  <si>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</si>
  <si>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</si>
  <si>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</si>
  <si>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</si>
  <si>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</si>
  <si>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</si>
  <si>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</si>
  <si>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</si>
  <si>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</si>
  <si>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</si>
  <si>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</si>
  <si>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</si>
  <si>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</si>
  <si>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</si>
  <si>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</si>
  <si>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</si>
  <si>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</si>
  <si>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</si>
  <si>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</si>
  <si>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</si>
  <si>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</si>
  <si>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</si>
  <si>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</si>
  <si>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</si>
  <si>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</si>
  <si>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</si>
  <si>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</si>
  <si>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</si>
  <si>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</si>
  <si>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</si>
  <si>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</si>
  <si>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</si>
  <si>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</si>
  <si>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</si>
  <si>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</si>
  <si>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</si>
  <si>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</si>
  <si>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</si>
  <si>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</si>
  <si>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</si>
  <si>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</si>
  <si>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</si>
  <si>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</si>
  <si>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</si>
  <si>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</si>
  <si>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</si>
  <si>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</si>
  <si>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</si>
  <si>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</si>
  <si>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</si>
  <si>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</si>
  <si>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</si>
  <si>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</si>
  <si>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</si>
  <si>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</si>
  <si>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</si>
  <si>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</si>
  <si>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</si>
  <si>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</si>
  <si>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</si>
  <si>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</si>
  <si>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</si>
  <si>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</si>
  <si>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</si>
  <si>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</si>
  <si>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</si>
  <si>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</si>
  <si>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</si>
  <si>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</si>
  <si>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</si>
  <si>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</si>
  <si>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</si>
  <si>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</si>
  <si>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</si>
  <si>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</si>
  <si>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</si>
  <si>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</si>
  <si>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</si>
  <si>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</si>
  <si>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</si>
  <si>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</si>
  <si>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</si>
  <si>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</si>
  <si>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</si>
  <si>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</si>
  <si>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</si>
  <si>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</si>
  <si>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</si>
  <si>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</si>
  <si>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</si>
  <si>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</si>
  <si>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</si>
  <si>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</si>
  <si>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</si>
  <si>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</si>
  <si>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</si>
  <si>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</si>
  <si>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</si>
  <si>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</si>
  <si>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</si>
  <si>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</si>
  <si>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</si>
  <si>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</si>
  <si>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</si>
  <si>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</si>
  <si>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</si>
  <si>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</si>
  <si>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</si>
  <si>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</si>
  <si>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</si>
  <si>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</si>
  <si>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</si>
  <si>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</si>
  <si>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</si>
  <si>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</si>
  <si>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</si>
  <si>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</si>
  <si>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</si>
  <si>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</si>
  <si>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</si>
  <si>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</si>
  <si>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</si>
  <si>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</si>
  <si>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</si>
  <si>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</si>
  <si>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</si>
  <si>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</si>
  <si>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</si>
  <si>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</si>
  <si>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</si>
  <si>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</si>
  <si>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</si>
  <si>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</si>
  <si>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</si>
  <si>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</si>
  <si>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</si>
  <si>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</si>
  <si>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</si>
  <si>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</si>
  <si>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</si>
  <si>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</si>
  <si>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</si>
  <si>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</si>
  <si>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</si>
  <si>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</si>
  <si>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</si>
  <si>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</si>
  <si>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</si>
  <si>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</si>
  <si>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</si>
  <si>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</si>
  <si>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</si>
  <si>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</si>
  <si>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</si>
  <si>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</si>
  <si>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</si>
  <si>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</si>
  <si>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</si>
  <si>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</si>
  <si>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</si>
  <si>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</si>
  <si>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</si>
  <si>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</si>
  <si>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</si>
  <si>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</si>
  <si>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</si>
  <si>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</si>
  <si>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</si>
  <si>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</si>
  <si>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</si>
  <si>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</si>
  <si>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</si>
  <si>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</si>
  <si>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</si>
  <si>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</si>
  <si>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</si>
  <si>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</si>
  <si>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</si>
  <si>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</si>
  <si>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</si>
  <si>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</si>
  <si>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</si>
  <si>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</si>
  <si>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</si>
  <si>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</si>
  <si>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</si>
  <si>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</si>
  <si>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</si>
  <si>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</si>
  <si>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</si>
  <si>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</si>
  <si>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</si>
  <si>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</si>
  <si>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</si>
  <si>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</si>
  <si>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</si>
  <si>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</si>
  <si>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</si>
  <si>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</si>
  <si>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</si>
  <si>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</si>
  <si>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</si>
  <si>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</si>
  <si>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</si>
  <si>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</si>
  <si>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</si>
  <si>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</si>
  <si>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</si>
  <si>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</si>
  <si>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</si>
  <si>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</si>
  <si>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</si>
  <si>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</si>
  <si>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</si>
  <si>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</si>
  <si>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</si>
  <si>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</si>
  <si>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</si>
  <si>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</si>
  <si>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</si>
  <si>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</si>
  <si>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</si>
  <si>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</si>
  <si>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</si>
  <si>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</si>
  <si>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</si>
  <si>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</si>
  <si>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</si>
  <si>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</si>
  <si>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</si>
  <si>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</si>
  <si>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 xml:space="preserve">Pergunta de negócio 2: Qual faturamento do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 xml:space="preserve">planos anuais, </t>
    </r>
    <r>
      <rPr>
        <sz val="11"/>
        <color theme="1"/>
        <rFont val="Aptos Narrow"/>
        <family val="2"/>
        <scheme val="minor"/>
      </rPr>
      <t>separado por autorenovação e por não autorenovação</t>
    </r>
  </si>
  <si>
    <r>
      <t xml:space="preserve">Pergunta de negócio 1: Qual faturamento do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 xml:space="preserve">planos anuais, </t>
    </r>
    <r>
      <rPr>
        <sz val="11"/>
        <color theme="1"/>
        <rFont val="Aptos Narrow"/>
        <family val="2"/>
        <scheme val="minor"/>
      </rPr>
      <t>contendo todas as assinaturas agregadas</t>
    </r>
  </si>
  <si>
    <t>XBOX GAME PASS SUBSCRIPTIONS SALES</t>
  </si>
  <si>
    <t>Pergunta de negócio 3: Total de vendas de assinaturas do EA Play</t>
  </si>
  <si>
    <t>Soma de EA Play Season Pass</t>
  </si>
  <si>
    <t>Pergunta de negócio 4: Total de vendas de assinaturas do Minecraft Season Pass</t>
  </si>
  <si>
    <t>Soma de Minecraft Season Pass Price</t>
  </si>
  <si>
    <t>Calculation period: 01/01/2024 - 31/12/2024 | Update date: 18/10/2026 16:00:00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</si>
</sst>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b/>
      <sz val="14"/>
      <color rgb="FF22C55E"/>
      <name val="Segoe UI"/>
      <family val="2"/>
    </font>
    <font>
      <sz val="9"/>
      <color theme="0" tint="-0.499984740745262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left" indent="1"/>
    </xf>
    <xf numFmtId="0" fontId="4" fillId="0" borderId="2" xfId="1" applyFont="1" applyBorder="1"/>
    <xf numFmtId="164" fontId="0" fillId="0" borderId="0" xfId="0" applyNumberFormat="1" applyAlignment="1">
      <alignment wrapText="1"/>
    </xf>
    <xf numFmtId="164" fontId="0" fillId="0" borderId="0" xfId="0" applyNumberFormat="1"/>
    <xf numFmtId="0" fontId="0" fillId="0" borderId="0" xfId="0" applyNumberFormat="1"/>
    <xf numFmtId="0" fontId="0" fillId="0" borderId="0" xfId="0" applyBorder="1"/>
    <xf numFmtId="0" fontId="4" fillId="0" borderId="0" xfId="1" applyFont="1" applyBorder="1"/>
    <xf numFmtId="0" fontId="5" fillId="0" borderId="2" xfId="1" applyFont="1" applyBorder="1" applyAlignment="1">
      <alignment horizontal="left" indent="1"/>
    </xf>
    <xf numFmtId="0" fontId="6" fillId="0" borderId="2" xfId="1" applyFont="1" applyBorder="1" applyAlignment="1">
      <alignment horizontal="left" indent="5"/>
    </xf>
    <xf numFmtId="0" fontId="7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D7C75870-6C81-4D74-B77D-469C4C102061}">
      <tableStyleElement type="wholeTable" dxfId="15"/>
      <tableStyleElement type="headerRow" dxfId="14"/>
    </tableStyle>
  </tableStyles>
  <colors>
    <mruColors>
      <color rgb="FF22C55E"/>
      <color rgb="FFE8E6E9"/>
      <color rgb="FF2AE6B1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[Projeto_Base.xlsx]C̳álculos!Tabela dinâmica1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B05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9697560528036148E-2"/>
          <c:y val="4.069852299612213E-2"/>
          <c:w val="0.8990901747722978"/>
          <c:h val="0.870504699557793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B05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C̳álculos!$B$11:$B$14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Annual</c:v>
                  </c:pt>
                </c:lvl>
              </c:multiLvlStrCache>
            </c:multiLvlStrRef>
          </c:cat>
          <c:val>
            <c:numRef>
              <c:f>C̳álculos!$C$11:$C$14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A-4490-923E-3519C6932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7233080"/>
        <c:axId val="427232720"/>
      </c:barChart>
      <c:catAx>
        <c:axId val="427233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7232720"/>
        <c:crosses val="autoZero"/>
        <c:auto val="1"/>
        <c:lblAlgn val="ctr"/>
        <c:lblOffset val="100"/>
        <c:noMultiLvlLbl val="0"/>
      </c:catAx>
      <c:valAx>
        <c:axId val="42723272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272330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1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5.png"/><Relationship Id="rId5" Type="http://schemas.openxmlformats.org/officeDocument/2006/relationships/chart" Target="../charts/chart1.xml"/><Relationship Id="rId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35718</xdr:colOff>
      <xdr:row>5</xdr:row>
      <xdr:rowOff>169069</xdr:rowOff>
    </xdr:from>
    <xdr:to>
      <xdr:col>0</xdr:col>
      <xdr:colOff>1369218</xdr:colOff>
      <xdr:row>21</xdr:row>
      <xdr:rowOff>23814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56FE63EF-694C-43BF-8273-3FDCB305E6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6" y="1912144"/>
              <a:ext cx="2667000" cy="2893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51193</xdr:colOff>
      <xdr:row>4</xdr:row>
      <xdr:rowOff>126206</xdr:rowOff>
    </xdr:from>
    <xdr:to>
      <xdr:col>2</xdr:col>
      <xdr:colOff>269153</xdr:colOff>
      <xdr:row>11</xdr:row>
      <xdr:rowOff>106151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4A5EA107-6D9A-C3DF-A95B-3BC0042397D7}"/>
            </a:ext>
          </a:extLst>
        </xdr:cNvPr>
        <xdr:cNvGrpSpPr/>
      </xdr:nvGrpSpPr>
      <xdr:grpSpPr>
        <a:xfrm>
          <a:off x="2864636" y="1678781"/>
          <a:ext cx="4550720" cy="1313445"/>
          <a:chOff x="4286250" y="1726406"/>
          <a:chExt cx="4583907" cy="1559718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7A2E5202-8F91-1231-AC72-13061DAFFF95}"/>
              </a:ext>
            </a:extLst>
          </xdr:cNvPr>
          <xdr:cNvSpPr/>
        </xdr:nvSpPr>
        <xdr:spPr>
          <a:xfrm>
            <a:off x="4286250" y="1738311"/>
            <a:ext cx="4583905" cy="154781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600"/>
          </a:p>
        </xdr:txBody>
      </xdr:sp>
      <xdr:sp macro="" textlink="C̳álculos!E25">
        <xdr:nvSpPr>
          <xdr:cNvPr id="5" name="Retângulo 4">
            <a:extLst>
              <a:ext uri="{FF2B5EF4-FFF2-40B4-BE49-F238E27FC236}">
                <a16:creationId xmlns:a16="http://schemas.microsoft.com/office/drawing/2014/main" id="{EB198FD7-649C-40DF-87FC-117B1A41B06C}"/>
              </a:ext>
            </a:extLst>
          </xdr:cNvPr>
          <xdr:cNvSpPr/>
        </xdr:nvSpPr>
        <xdr:spPr>
          <a:xfrm>
            <a:off x="5853110" y="2180034"/>
            <a:ext cx="2874171" cy="9072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2E32D9B-690E-4452-A8F6-BB96F8AD4F8E}" type="TxLink">
              <a:rPr lang="en-US" sz="2000" b="1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R$ 600,00</a:t>
            </a:fld>
            <a:endParaRPr lang="en-US" sz="20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57155B13-80DE-420A-9FD9-8C818197ED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60094" y="2024062"/>
            <a:ext cx="1219198" cy="1219200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8426FAC4-C944-FD7D-73BC-0EE6A2AFF3D5}"/>
              </a:ext>
            </a:extLst>
          </xdr:cNvPr>
          <xdr:cNvSpPr/>
        </xdr:nvSpPr>
        <xdr:spPr>
          <a:xfrm>
            <a:off x="4286250" y="1726406"/>
            <a:ext cx="4583907" cy="45243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 editAs="absolute">
    <xdr:from>
      <xdr:col>2</xdr:col>
      <xdr:colOff>338135</xdr:colOff>
      <xdr:row>4</xdr:row>
      <xdr:rowOff>114302</xdr:rowOff>
    </xdr:from>
    <xdr:to>
      <xdr:col>4</xdr:col>
      <xdr:colOff>33337</xdr:colOff>
      <xdr:row>11</xdr:row>
      <xdr:rowOff>114300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D84812D6-4A47-02FB-6629-0C60287010F8}"/>
            </a:ext>
          </a:extLst>
        </xdr:cNvPr>
        <xdr:cNvGrpSpPr/>
      </xdr:nvGrpSpPr>
      <xdr:grpSpPr>
        <a:xfrm>
          <a:off x="7553320" y="1666877"/>
          <a:ext cx="4572004" cy="1333498"/>
          <a:chOff x="8679655" y="1762126"/>
          <a:chExt cx="4583906" cy="1583531"/>
        </a:xfrm>
      </xdr:grpSpPr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179362B0-0F7A-5892-68BF-3527B62FECDD}"/>
              </a:ext>
            </a:extLst>
          </xdr:cNvPr>
          <xdr:cNvGrpSpPr/>
        </xdr:nvGrpSpPr>
        <xdr:grpSpPr>
          <a:xfrm>
            <a:off x="8679655" y="1762126"/>
            <a:ext cx="4583906" cy="1583531"/>
            <a:chOff x="4250532" y="1726406"/>
            <a:chExt cx="4583907" cy="1583531"/>
          </a:xfrm>
        </xdr:grpSpPr>
        <xdr:sp macro="" textlink="">
          <xdr:nvSpPr>
            <xdr:cNvPr id="23" name="Retângulo 22">
              <a:extLst>
                <a:ext uri="{FF2B5EF4-FFF2-40B4-BE49-F238E27FC236}">
                  <a16:creationId xmlns:a16="http://schemas.microsoft.com/office/drawing/2014/main" id="{3C02B4D9-F344-D192-B2D1-5F0AB157AD28}"/>
                </a:ext>
              </a:extLst>
            </xdr:cNvPr>
            <xdr:cNvSpPr/>
          </xdr:nvSpPr>
          <xdr:spPr>
            <a:xfrm>
              <a:off x="4250532" y="1762124"/>
              <a:ext cx="4583906" cy="154781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600"/>
            </a:p>
          </xdr:txBody>
        </xdr:sp>
        <xdr:sp macro="" textlink="C̳álculos!E35">
          <xdr:nvSpPr>
            <xdr:cNvPr id="24" name="Retângulo 23">
              <a:extLst>
                <a:ext uri="{FF2B5EF4-FFF2-40B4-BE49-F238E27FC236}">
                  <a16:creationId xmlns:a16="http://schemas.microsoft.com/office/drawing/2014/main" id="{F60BBAA5-32F1-D270-1A78-B7068985BCEC}"/>
                </a:ext>
              </a:extLst>
            </xdr:cNvPr>
            <xdr:cNvSpPr/>
          </xdr:nvSpPr>
          <xdr:spPr>
            <a:xfrm>
              <a:off x="5853110" y="2180034"/>
              <a:ext cx="2874171" cy="90725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17B9E4AA-83C1-4FD2-A615-8F48E4A59ECF}" type="TxLink">
                <a:rPr lang="en-US" sz="2000" b="1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R$ 940,00</a:t>
              </a:fld>
              <a:endParaRPr lang="en-US" sz="4000" b="1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25" name="Retângulo: Cantos Superiores Arredondados 24">
              <a:extLst>
                <a:ext uri="{FF2B5EF4-FFF2-40B4-BE49-F238E27FC236}">
                  <a16:creationId xmlns:a16="http://schemas.microsoft.com/office/drawing/2014/main" id="{FC1F05A9-07A9-D152-C52D-E6883D6694B1}"/>
                </a:ext>
              </a:extLst>
            </xdr:cNvPr>
            <xdr:cNvSpPr/>
          </xdr:nvSpPr>
          <xdr:spPr>
            <a:xfrm>
              <a:off x="4250532" y="1726406"/>
              <a:ext cx="4583907" cy="452438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 SEASON PASS</a:t>
              </a:r>
            </a:p>
          </xdr:txBody>
        </xdr:sp>
      </xdr:grpSp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AD2ADF10-23EB-9B32-F6E7-10235AC7864B}"/>
              </a:ext>
            </a:extLst>
          </xdr:cNvPr>
          <xdr:cNvGrpSpPr/>
        </xdr:nvGrpSpPr>
        <xdr:grpSpPr>
          <a:xfrm>
            <a:off x="9203529" y="2375295"/>
            <a:ext cx="1259999" cy="619124"/>
            <a:chOff x="3495675" y="5400674"/>
            <a:chExt cx="1549476" cy="752476"/>
          </a:xfrm>
        </xdr:grpSpPr>
        <xdr:pic>
          <xdr:nvPicPr>
            <xdr:cNvPr id="27" name="Imagem 26">
              <a:extLst>
                <a:ext uri="{FF2B5EF4-FFF2-40B4-BE49-F238E27FC236}">
                  <a16:creationId xmlns:a16="http://schemas.microsoft.com/office/drawing/2014/main" id="{31C27B83-9671-E443-F228-C60A497BF1C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8" name="Gráfico 27">
              <a:extLst>
                <a:ext uri="{FF2B5EF4-FFF2-40B4-BE49-F238E27FC236}">
                  <a16:creationId xmlns:a16="http://schemas.microsoft.com/office/drawing/2014/main" id="{AB388CD6-1B37-B5AA-9C15-4B490BC7BF6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63098</xdr:colOff>
      <xdr:row>12</xdr:row>
      <xdr:rowOff>38100</xdr:rowOff>
    </xdr:from>
    <xdr:to>
      <xdr:col>4</xdr:col>
      <xdr:colOff>52387</xdr:colOff>
      <xdr:row>27</xdr:row>
      <xdr:rowOff>114300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2C6001B3-1C63-33D3-C685-BA35CB419180}"/>
            </a:ext>
          </a:extLst>
        </xdr:cNvPr>
        <xdr:cNvGrpSpPr/>
      </xdr:nvGrpSpPr>
      <xdr:grpSpPr>
        <a:xfrm>
          <a:off x="2888446" y="3114675"/>
          <a:ext cx="9274978" cy="2924175"/>
          <a:chOff x="3738560" y="3428999"/>
          <a:chExt cx="9382127" cy="4602240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C98AE513-6BCE-2630-F543-D522E0848562}"/>
              </a:ext>
            </a:extLst>
          </xdr:cNvPr>
          <xdr:cNvGrpSpPr/>
        </xdr:nvGrpSpPr>
        <xdr:grpSpPr>
          <a:xfrm>
            <a:off x="3750458" y="3428999"/>
            <a:ext cx="9370229" cy="4602240"/>
            <a:chOff x="3417319" y="2368860"/>
            <a:chExt cx="4762500" cy="3012281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7F7C9EE1-B9E8-A5A0-5531-057FAB8DB0B9}"/>
                </a:ext>
              </a:extLst>
            </xdr:cNvPr>
            <xdr:cNvSpPr/>
          </xdr:nvSpPr>
          <xdr:spPr>
            <a:xfrm>
              <a:off x="3417319" y="2368860"/>
              <a:ext cx="4762500" cy="301228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B59E634B-B17D-468A-9F4D-D863D033241B}"/>
                </a:ext>
              </a:extLst>
            </xdr:cNvPr>
            <xdr:cNvGraphicFramePr>
              <a:graphicFrameLocks/>
            </xdr:cNvGraphicFramePr>
          </xdr:nvGraphicFramePr>
          <xdr:xfrm>
            <a:off x="3708984" y="2867525"/>
            <a:ext cx="4329111" cy="235585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33" name="Retângulo: Cantos Superiores Arredondados 32">
            <a:extLst>
              <a:ext uri="{FF2B5EF4-FFF2-40B4-BE49-F238E27FC236}">
                <a16:creationId xmlns:a16="http://schemas.microsoft.com/office/drawing/2014/main" id="{334BF921-2818-4E1A-981D-29E98627E4D5}"/>
              </a:ext>
            </a:extLst>
          </xdr:cNvPr>
          <xdr:cNvSpPr/>
        </xdr:nvSpPr>
        <xdr:spPr>
          <a:xfrm>
            <a:off x="3738560" y="3429000"/>
            <a:ext cx="9370219" cy="5715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XBOX GAME PASS</a:t>
            </a:r>
          </a:p>
        </xdr:txBody>
      </xdr:sp>
    </xdr:grpSp>
    <xdr:clientData/>
  </xdr:twoCellAnchor>
  <xdr:twoCellAnchor editAs="absolute">
    <xdr:from>
      <xdr:col>0</xdr:col>
      <xdr:colOff>171447</xdr:colOff>
      <xdr:row>1</xdr:row>
      <xdr:rowOff>47016</xdr:rowOff>
    </xdr:from>
    <xdr:to>
      <xdr:col>0</xdr:col>
      <xdr:colOff>513447</xdr:colOff>
      <xdr:row>2</xdr:row>
      <xdr:rowOff>40453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6CE1CA56-7AAC-4A8A-BD12-49474FB85391}"/>
            </a:ext>
          </a:extLst>
        </xdr:cNvPr>
        <xdr:cNvSpPr/>
      </xdr:nvSpPr>
      <xdr:spPr>
        <a:xfrm>
          <a:off x="342894" y="237516"/>
          <a:ext cx="684000" cy="68400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1380276</xdr:colOff>
      <xdr:row>1</xdr:row>
      <xdr:rowOff>213042</xdr:rowOff>
    </xdr:from>
    <xdr:to>
      <xdr:col>1</xdr:col>
      <xdr:colOff>219075</xdr:colOff>
      <xdr:row>2</xdr:row>
      <xdr:rowOff>19050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1FE84F36-F416-4CF5-9F2A-B35F5ABF62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-6248" t="-32802" r="65190" b="-18030"/>
        <a:stretch>
          <a:fillRect/>
        </a:stretch>
      </xdr:blipFill>
      <xdr:spPr>
        <a:xfrm>
          <a:off x="2760552" y="403542"/>
          <a:ext cx="439848" cy="501333"/>
        </a:xfrm>
        <a:prstGeom prst="rect">
          <a:avLst/>
        </a:prstGeom>
      </xdr:spPr>
    </xdr:pic>
    <xdr:clientData/>
  </xdr:twoCellAnchor>
  <xdr:twoCellAnchor editAs="absolute">
    <xdr:from>
      <xdr:col>0</xdr:col>
      <xdr:colOff>172640</xdr:colOff>
      <xdr:row>2</xdr:row>
      <xdr:rowOff>207168</xdr:rowOff>
    </xdr:from>
    <xdr:to>
      <xdr:col>0</xdr:col>
      <xdr:colOff>982265</xdr:colOff>
      <xdr:row>2</xdr:row>
      <xdr:rowOff>445293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6088506E-9F86-2140-A46C-2611E06DF7D5}"/>
            </a:ext>
          </a:extLst>
        </xdr:cNvPr>
        <xdr:cNvSpPr/>
      </xdr:nvSpPr>
      <xdr:spPr>
        <a:xfrm>
          <a:off x="345280" y="1092993"/>
          <a:ext cx="1619250" cy="238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-&gt; Bem-vinda Gisele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sele" refreshedDate="46310.458482407405" createdVersion="8" refreshedVersion="8" minRefreshableVersion="3" recordCount="295" xr:uid="{660E4E8B-D660-4DB5-A849-C96E1C16DED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9672557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x v="0"/>
  </r>
  <r>
    <n v="3232"/>
    <x v="1"/>
    <x v="1"/>
    <d v="2024-01-15T00:00:00"/>
    <x v="1"/>
    <n v="5"/>
    <x v="1"/>
    <s v="No"/>
    <x v="1"/>
    <s v="No"/>
    <n v="0"/>
    <n v="0"/>
    <x v="1"/>
  </r>
  <r>
    <n v="3233"/>
    <x v="2"/>
    <x v="2"/>
    <d v="2024-02-10T00:00:00"/>
    <x v="0"/>
    <n v="10"/>
    <x v="2"/>
    <s v="No"/>
    <x v="1"/>
    <s v="Yes"/>
    <n v="20"/>
    <n v="10"/>
    <x v="2"/>
  </r>
  <r>
    <n v="3234"/>
    <x v="3"/>
    <x v="0"/>
    <d v="2024-02-20T00:00:00"/>
    <x v="1"/>
    <n v="15"/>
    <x v="0"/>
    <s v="Yes"/>
    <x v="0"/>
    <s v="Yes"/>
    <n v="20"/>
    <n v="3"/>
    <x v="3"/>
  </r>
  <r>
    <n v="3235"/>
    <x v="4"/>
    <x v="1"/>
    <d v="2024-03-05T00:00:00"/>
    <x v="0"/>
    <n v="5"/>
    <x v="0"/>
    <s v="No"/>
    <x v="1"/>
    <s v="No"/>
    <n v="0"/>
    <n v="1"/>
    <x v="4"/>
  </r>
  <r>
    <n v="3236"/>
    <x v="5"/>
    <x v="2"/>
    <d v="2024-03-02T00:00:00"/>
    <x v="1"/>
    <n v="10"/>
    <x v="0"/>
    <s v="No"/>
    <x v="1"/>
    <s v="Yes"/>
    <n v="20"/>
    <n v="2"/>
    <x v="5"/>
  </r>
  <r>
    <n v="3237"/>
    <x v="6"/>
    <x v="0"/>
    <d v="2024-03-03T00:00:00"/>
    <x v="0"/>
    <n v="15"/>
    <x v="2"/>
    <s v="Yes"/>
    <x v="0"/>
    <s v="Yes"/>
    <n v="20"/>
    <n v="10"/>
    <x v="6"/>
  </r>
  <r>
    <n v="3238"/>
    <x v="7"/>
    <x v="1"/>
    <d v="2024-03-04T00:00:00"/>
    <x v="0"/>
    <n v="5"/>
    <x v="1"/>
    <s v="No"/>
    <x v="1"/>
    <s v="No"/>
    <n v="0"/>
    <n v="0"/>
    <x v="1"/>
  </r>
  <r>
    <n v="3239"/>
    <x v="8"/>
    <x v="0"/>
    <d v="2024-03-05T00:00:00"/>
    <x v="1"/>
    <n v="15"/>
    <x v="0"/>
    <s v="Yes"/>
    <x v="0"/>
    <s v="Yes"/>
    <n v="20"/>
    <n v="5"/>
    <x v="0"/>
  </r>
  <r>
    <n v="3240"/>
    <x v="9"/>
    <x v="2"/>
    <d v="2024-03-06T00:00:00"/>
    <x v="0"/>
    <n v="10"/>
    <x v="2"/>
    <s v="No"/>
    <x v="1"/>
    <s v="Yes"/>
    <n v="20"/>
    <n v="15"/>
    <x v="7"/>
  </r>
  <r>
    <n v="3241"/>
    <x v="10"/>
    <x v="1"/>
    <d v="2024-03-07T00:00:00"/>
    <x v="1"/>
    <n v="5"/>
    <x v="0"/>
    <s v="No"/>
    <x v="1"/>
    <s v="No"/>
    <n v="0"/>
    <n v="1"/>
    <x v="4"/>
  </r>
  <r>
    <n v="3242"/>
    <x v="11"/>
    <x v="0"/>
    <d v="2024-03-08T00:00:00"/>
    <x v="0"/>
    <n v="15"/>
    <x v="1"/>
    <s v="Yes"/>
    <x v="0"/>
    <s v="Yes"/>
    <n v="20"/>
    <n v="20"/>
    <x v="8"/>
  </r>
  <r>
    <n v="3243"/>
    <x v="12"/>
    <x v="2"/>
    <d v="2024-03-09T00:00:00"/>
    <x v="1"/>
    <n v="10"/>
    <x v="0"/>
    <s v="No"/>
    <x v="1"/>
    <s v="Yes"/>
    <n v="20"/>
    <n v="10"/>
    <x v="2"/>
  </r>
  <r>
    <n v="3244"/>
    <x v="13"/>
    <x v="1"/>
    <d v="2024-03-10T00:00:00"/>
    <x v="0"/>
    <n v="5"/>
    <x v="2"/>
    <s v="No"/>
    <x v="1"/>
    <s v="No"/>
    <n v="0"/>
    <n v="0"/>
    <x v="1"/>
  </r>
  <r>
    <n v="3245"/>
    <x v="14"/>
    <x v="0"/>
    <d v="2024-03-11T00:00:00"/>
    <x v="1"/>
    <n v="15"/>
    <x v="0"/>
    <s v="Yes"/>
    <x v="0"/>
    <s v="Yes"/>
    <n v="20"/>
    <n v="8"/>
    <x v="9"/>
  </r>
  <r>
    <n v="3246"/>
    <x v="15"/>
    <x v="2"/>
    <d v="2024-03-12T00:00:00"/>
    <x v="0"/>
    <n v="10"/>
    <x v="1"/>
    <s v="No"/>
    <x v="1"/>
    <s v="Yes"/>
    <n v="20"/>
    <n v="12"/>
    <x v="10"/>
  </r>
  <r>
    <n v="3247"/>
    <x v="16"/>
    <x v="1"/>
    <d v="2024-03-13T00:00:00"/>
    <x v="1"/>
    <n v="5"/>
    <x v="0"/>
    <s v="No"/>
    <x v="1"/>
    <s v="No"/>
    <n v="0"/>
    <n v="2"/>
    <x v="11"/>
  </r>
  <r>
    <n v="3248"/>
    <x v="17"/>
    <x v="0"/>
    <d v="2024-03-14T00:00:00"/>
    <x v="0"/>
    <n v="15"/>
    <x v="2"/>
    <s v="Yes"/>
    <x v="0"/>
    <s v="Yes"/>
    <n v="20"/>
    <n v="7"/>
    <x v="12"/>
  </r>
  <r>
    <n v="3249"/>
    <x v="18"/>
    <x v="2"/>
    <d v="2024-03-15T00:00:00"/>
    <x v="1"/>
    <n v="10"/>
    <x v="0"/>
    <s v="No"/>
    <x v="1"/>
    <s v="Yes"/>
    <n v="20"/>
    <n v="5"/>
    <x v="13"/>
  </r>
  <r>
    <n v="3250"/>
    <x v="19"/>
    <x v="1"/>
    <d v="2024-03-16T00:00:00"/>
    <x v="0"/>
    <n v="5"/>
    <x v="1"/>
    <s v="No"/>
    <x v="1"/>
    <s v="No"/>
    <n v="0"/>
    <n v="0"/>
    <x v="1"/>
  </r>
  <r>
    <n v="3251"/>
    <x v="20"/>
    <x v="0"/>
    <d v="2024-03-17T00:00:00"/>
    <x v="1"/>
    <n v="15"/>
    <x v="0"/>
    <s v="Yes"/>
    <x v="0"/>
    <s v="Yes"/>
    <n v="20"/>
    <n v="3"/>
    <x v="3"/>
  </r>
  <r>
    <n v="3252"/>
    <x v="21"/>
    <x v="2"/>
    <d v="2024-03-18T00:00:00"/>
    <x v="0"/>
    <n v="10"/>
    <x v="2"/>
    <s v="No"/>
    <x v="1"/>
    <s v="Yes"/>
    <n v="20"/>
    <n v="15"/>
    <x v="7"/>
  </r>
  <r>
    <n v="3253"/>
    <x v="22"/>
    <x v="1"/>
    <d v="2024-03-19T00:00:00"/>
    <x v="1"/>
    <n v="5"/>
    <x v="0"/>
    <s v="No"/>
    <x v="1"/>
    <s v="No"/>
    <n v="0"/>
    <n v="1"/>
    <x v="4"/>
  </r>
  <r>
    <n v="3254"/>
    <x v="23"/>
    <x v="0"/>
    <d v="2024-03-20T00:00:00"/>
    <x v="0"/>
    <n v="15"/>
    <x v="1"/>
    <s v="Yes"/>
    <x v="0"/>
    <s v="Yes"/>
    <n v="20"/>
    <n v="20"/>
    <x v="8"/>
  </r>
  <r>
    <n v="3255"/>
    <x v="24"/>
    <x v="2"/>
    <d v="2024-03-21T00:00:00"/>
    <x v="1"/>
    <n v="10"/>
    <x v="0"/>
    <s v="No"/>
    <x v="1"/>
    <s v="Yes"/>
    <n v="20"/>
    <n v="10"/>
    <x v="2"/>
  </r>
  <r>
    <n v="3256"/>
    <x v="25"/>
    <x v="1"/>
    <d v="2024-03-22T00:00:00"/>
    <x v="0"/>
    <n v="5"/>
    <x v="2"/>
    <s v="No"/>
    <x v="1"/>
    <s v="No"/>
    <n v="0"/>
    <n v="0"/>
    <x v="1"/>
  </r>
  <r>
    <n v="3257"/>
    <x v="26"/>
    <x v="0"/>
    <d v="2024-03-23T00:00:00"/>
    <x v="1"/>
    <n v="15"/>
    <x v="0"/>
    <s v="Yes"/>
    <x v="0"/>
    <s v="Yes"/>
    <n v="20"/>
    <n v="5"/>
    <x v="0"/>
  </r>
  <r>
    <n v="3258"/>
    <x v="27"/>
    <x v="2"/>
    <d v="2024-03-24T00:00:00"/>
    <x v="0"/>
    <n v="10"/>
    <x v="1"/>
    <s v="No"/>
    <x v="1"/>
    <s v="Yes"/>
    <n v="20"/>
    <n v="15"/>
    <x v="7"/>
  </r>
  <r>
    <n v="3259"/>
    <x v="28"/>
    <x v="1"/>
    <d v="2024-03-25T00:00:00"/>
    <x v="1"/>
    <n v="5"/>
    <x v="0"/>
    <s v="No"/>
    <x v="1"/>
    <s v="No"/>
    <n v="0"/>
    <n v="1"/>
    <x v="4"/>
  </r>
  <r>
    <n v="3260"/>
    <x v="29"/>
    <x v="0"/>
    <d v="2024-03-26T00:00:00"/>
    <x v="0"/>
    <n v="15"/>
    <x v="2"/>
    <s v="Yes"/>
    <x v="0"/>
    <s v="Yes"/>
    <n v="20"/>
    <n v="7"/>
    <x v="12"/>
  </r>
  <r>
    <n v="3261"/>
    <x v="30"/>
    <x v="2"/>
    <d v="2024-03-27T00:00:00"/>
    <x v="1"/>
    <n v="10"/>
    <x v="0"/>
    <s v="No"/>
    <x v="1"/>
    <s v="Yes"/>
    <n v="20"/>
    <n v="10"/>
    <x v="2"/>
  </r>
  <r>
    <n v="3262"/>
    <x v="31"/>
    <x v="1"/>
    <d v="2024-03-28T00:00:00"/>
    <x v="0"/>
    <n v="5"/>
    <x v="1"/>
    <s v="No"/>
    <x v="1"/>
    <s v="No"/>
    <n v="0"/>
    <n v="0"/>
    <x v="1"/>
  </r>
  <r>
    <n v="3263"/>
    <x v="32"/>
    <x v="0"/>
    <d v="2024-03-29T00:00:00"/>
    <x v="1"/>
    <n v="15"/>
    <x v="0"/>
    <s v="Yes"/>
    <x v="0"/>
    <s v="Yes"/>
    <n v="20"/>
    <n v="3"/>
    <x v="3"/>
  </r>
  <r>
    <n v="3264"/>
    <x v="33"/>
    <x v="2"/>
    <d v="2024-03-30T00:00:00"/>
    <x v="0"/>
    <n v="10"/>
    <x v="2"/>
    <s v="No"/>
    <x v="1"/>
    <s v="Yes"/>
    <n v="20"/>
    <n v="15"/>
    <x v="7"/>
  </r>
  <r>
    <n v="3265"/>
    <x v="34"/>
    <x v="1"/>
    <d v="2024-03-31T00:00:00"/>
    <x v="1"/>
    <n v="5"/>
    <x v="0"/>
    <s v="No"/>
    <x v="1"/>
    <s v="No"/>
    <n v="0"/>
    <n v="1"/>
    <x v="4"/>
  </r>
  <r>
    <n v="3266"/>
    <x v="35"/>
    <x v="1"/>
    <d v="2024-04-01T00:00:00"/>
    <x v="0"/>
    <n v="5"/>
    <x v="0"/>
    <s v="No"/>
    <x v="1"/>
    <s v="No"/>
    <n v="0"/>
    <n v="0"/>
    <x v="1"/>
  </r>
  <r>
    <n v="3267"/>
    <x v="36"/>
    <x v="0"/>
    <d v="2024-04-02T00:00:00"/>
    <x v="1"/>
    <n v="15"/>
    <x v="2"/>
    <s v="Yes"/>
    <x v="0"/>
    <s v="Yes"/>
    <n v="20"/>
    <n v="7"/>
    <x v="12"/>
  </r>
  <r>
    <n v="3268"/>
    <x v="37"/>
    <x v="2"/>
    <d v="2024-04-03T00:00:00"/>
    <x v="0"/>
    <n v="10"/>
    <x v="1"/>
    <s v="No"/>
    <x v="1"/>
    <s v="Yes"/>
    <n v="20"/>
    <n v="10"/>
    <x v="2"/>
  </r>
  <r>
    <n v="3269"/>
    <x v="38"/>
    <x v="1"/>
    <d v="2024-04-04T00:00:00"/>
    <x v="1"/>
    <n v="5"/>
    <x v="2"/>
    <s v="No"/>
    <x v="1"/>
    <s v="No"/>
    <n v="0"/>
    <n v="1"/>
    <x v="4"/>
  </r>
  <r>
    <n v="3270"/>
    <x v="39"/>
    <x v="0"/>
    <d v="2024-04-05T00:00:00"/>
    <x v="0"/>
    <n v="15"/>
    <x v="0"/>
    <s v="Yes"/>
    <x v="0"/>
    <s v="Yes"/>
    <n v="20"/>
    <n v="15"/>
    <x v="14"/>
  </r>
  <r>
    <n v="3271"/>
    <x v="40"/>
    <x v="2"/>
    <d v="2024-04-06T00:00:00"/>
    <x v="1"/>
    <n v="10"/>
    <x v="0"/>
    <s v="No"/>
    <x v="1"/>
    <s v="Yes"/>
    <n v="20"/>
    <n v="5"/>
    <x v="13"/>
  </r>
  <r>
    <n v="3272"/>
    <x v="41"/>
    <x v="1"/>
    <d v="2024-04-07T00:00:00"/>
    <x v="0"/>
    <n v="5"/>
    <x v="1"/>
    <s v="No"/>
    <x v="1"/>
    <s v="No"/>
    <n v="0"/>
    <n v="0"/>
    <x v="1"/>
  </r>
  <r>
    <n v="3273"/>
    <x v="42"/>
    <x v="0"/>
    <d v="2024-04-08T00:00:00"/>
    <x v="1"/>
    <n v="15"/>
    <x v="2"/>
    <s v="Yes"/>
    <x v="0"/>
    <s v="Yes"/>
    <n v="20"/>
    <n v="20"/>
    <x v="8"/>
  </r>
  <r>
    <n v="3274"/>
    <x v="43"/>
    <x v="2"/>
    <d v="2024-04-09T00:00:00"/>
    <x v="0"/>
    <n v="10"/>
    <x v="2"/>
    <s v="No"/>
    <x v="1"/>
    <s v="Yes"/>
    <n v="20"/>
    <n v="12"/>
    <x v="10"/>
  </r>
  <r>
    <n v="3275"/>
    <x v="44"/>
    <x v="1"/>
    <d v="2024-04-10T00:00:00"/>
    <x v="1"/>
    <n v="5"/>
    <x v="0"/>
    <s v="No"/>
    <x v="1"/>
    <s v="No"/>
    <n v="0"/>
    <n v="2"/>
    <x v="11"/>
  </r>
  <r>
    <n v="3276"/>
    <x v="45"/>
    <x v="0"/>
    <d v="2024-04-11T00:00:00"/>
    <x v="0"/>
    <n v="15"/>
    <x v="1"/>
    <s v="Yes"/>
    <x v="0"/>
    <s v="Yes"/>
    <n v="20"/>
    <n v="5"/>
    <x v="0"/>
  </r>
  <r>
    <n v="3277"/>
    <x v="46"/>
    <x v="2"/>
    <d v="2024-04-12T00:00:00"/>
    <x v="1"/>
    <n v="10"/>
    <x v="0"/>
    <s v="No"/>
    <x v="1"/>
    <s v="Yes"/>
    <n v="20"/>
    <n v="10"/>
    <x v="2"/>
  </r>
  <r>
    <n v="3278"/>
    <x v="47"/>
    <x v="1"/>
    <d v="2024-04-13T00:00:00"/>
    <x v="0"/>
    <n v="5"/>
    <x v="2"/>
    <s v="No"/>
    <x v="1"/>
    <s v="No"/>
    <n v="0"/>
    <n v="0"/>
    <x v="1"/>
  </r>
  <r>
    <n v="3279"/>
    <x v="48"/>
    <x v="0"/>
    <d v="2024-04-14T00:00:00"/>
    <x v="1"/>
    <n v="15"/>
    <x v="0"/>
    <s v="Yes"/>
    <x v="0"/>
    <s v="Yes"/>
    <n v="20"/>
    <n v="3"/>
    <x v="3"/>
  </r>
  <r>
    <n v="3280"/>
    <x v="49"/>
    <x v="2"/>
    <d v="2024-04-15T00:00:00"/>
    <x v="0"/>
    <n v="10"/>
    <x v="1"/>
    <s v="No"/>
    <x v="1"/>
    <s v="Yes"/>
    <n v="20"/>
    <n v="15"/>
    <x v="7"/>
  </r>
  <r>
    <n v="3281"/>
    <x v="50"/>
    <x v="1"/>
    <d v="2024-04-16T00:00:00"/>
    <x v="1"/>
    <n v="5"/>
    <x v="0"/>
    <s v="No"/>
    <x v="1"/>
    <s v="No"/>
    <n v="0"/>
    <n v="1"/>
    <x v="4"/>
  </r>
  <r>
    <n v="3282"/>
    <x v="51"/>
    <x v="0"/>
    <d v="2024-04-17T00:00:00"/>
    <x v="0"/>
    <n v="15"/>
    <x v="2"/>
    <s v="Yes"/>
    <x v="0"/>
    <s v="Yes"/>
    <n v="20"/>
    <n v="7"/>
    <x v="12"/>
  </r>
  <r>
    <n v="3283"/>
    <x v="52"/>
    <x v="2"/>
    <d v="2024-04-18T00:00:00"/>
    <x v="1"/>
    <n v="10"/>
    <x v="0"/>
    <s v="No"/>
    <x v="1"/>
    <s v="Yes"/>
    <n v="20"/>
    <n v="10"/>
    <x v="2"/>
  </r>
  <r>
    <n v="3284"/>
    <x v="53"/>
    <x v="1"/>
    <d v="2024-04-19T00:00:00"/>
    <x v="0"/>
    <n v="5"/>
    <x v="1"/>
    <s v="No"/>
    <x v="1"/>
    <s v="No"/>
    <n v="0"/>
    <n v="0"/>
    <x v="1"/>
  </r>
  <r>
    <n v="3285"/>
    <x v="54"/>
    <x v="0"/>
    <d v="2024-04-20T00:00:00"/>
    <x v="1"/>
    <n v="15"/>
    <x v="0"/>
    <s v="Yes"/>
    <x v="0"/>
    <s v="Yes"/>
    <n v="20"/>
    <n v="20"/>
    <x v="8"/>
  </r>
  <r>
    <n v="3286"/>
    <x v="55"/>
    <x v="2"/>
    <d v="2024-04-21T00:00:00"/>
    <x v="0"/>
    <n v="10"/>
    <x v="2"/>
    <s v="No"/>
    <x v="1"/>
    <s v="Yes"/>
    <n v="20"/>
    <n v="15"/>
    <x v="7"/>
  </r>
  <r>
    <n v="3287"/>
    <x v="56"/>
    <x v="1"/>
    <d v="2024-04-22T00:00:00"/>
    <x v="1"/>
    <n v="5"/>
    <x v="0"/>
    <s v="No"/>
    <x v="1"/>
    <s v="No"/>
    <n v="0"/>
    <n v="1"/>
    <x v="4"/>
  </r>
  <r>
    <n v="3288"/>
    <x v="57"/>
    <x v="0"/>
    <d v="2024-04-23T00:00:00"/>
    <x v="0"/>
    <n v="15"/>
    <x v="1"/>
    <s v="Yes"/>
    <x v="0"/>
    <s v="Yes"/>
    <n v="20"/>
    <n v="3"/>
    <x v="3"/>
  </r>
  <r>
    <n v="3289"/>
    <x v="58"/>
    <x v="2"/>
    <d v="2024-04-24T00:00:00"/>
    <x v="1"/>
    <n v="10"/>
    <x v="0"/>
    <s v="No"/>
    <x v="1"/>
    <s v="Yes"/>
    <n v="20"/>
    <n v="10"/>
    <x v="2"/>
  </r>
  <r>
    <n v="3290"/>
    <x v="59"/>
    <x v="1"/>
    <d v="2024-04-25T00:00:00"/>
    <x v="0"/>
    <n v="5"/>
    <x v="2"/>
    <s v="No"/>
    <x v="1"/>
    <s v="No"/>
    <n v="0"/>
    <n v="0"/>
    <x v="1"/>
  </r>
  <r>
    <n v="3291"/>
    <x v="60"/>
    <x v="0"/>
    <d v="2024-04-26T00:00:00"/>
    <x v="1"/>
    <n v="15"/>
    <x v="0"/>
    <s v="Yes"/>
    <x v="0"/>
    <s v="Yes"/>
    <n v="20"/>
    <n v="5"/>
    <x v="0"/>
  </r>
  <r>
    <n v="3292"/>
    <x v="61"/>
    <x v="2"/>
    <d v="2024-04-27T00:00:00"/>
    <x v="0"/>
    <n v="10"/>
    <x v="1"/>
    <s v="No"/>
    <x v="1"/>
    <s v="Yes"/>
    <n v="20"/>
    <n v="15"/>
    <x v="7"/>
  </r>
  <r>
    <n v="3293"/>
    <x v="62"/>
    <x v="1"/>
    <d v="2024-04-28T00:00:00"/>
    <x v="1"/>
    <n v="5"/>
    <x v="0"/>
    <s v="No"/>
    <x v="1"/>
    <s v="No"/>
    <n v="0"/>
    <n v="1"/>
    <x v="4"/>
  </r>
  <r>
    <n v="3294"/>
    <x v="63"/>
    <x v="0"/>
    <d v="2024-04-29T00:00:00"/>
    <x v="0"/>
    <n v="15"/>
    <x v="2"/>
    <s v="Yes"/>
    <x v="0"/>
    <s v="Yes"/>
    <n v="20"/>
    <n v="20"/>
    <x v="8"/>
  </r>
  <r>
    <n v="3295"/>
    <x v="64"/>
    <x v="2"/>
    <d v="2024-04-30T00:00:00"/>
    <x v="1"/>
    <n v="10"/>
    <x v="0"/>
    <s v="No"/>
    <x v="1"/>
    <s v="Yes"/>
    <n v="20"/>
    <n v="5"/>
    <x v="13"/>
  </r>
  <r>
    <n v="3296"/>
    <x v="65"/>
    <x v="1"/>
    <d v="2024-05-01T00:00:00"/>
    <x v="1"/>
    <n v="5"/>
    <x v="0"/>
    <s v="No"/>
    <x v="1"/>
    <s v="No"/>
    <n v="0"/>
    <n v="0"/>
    <x v="1"/>
  </r>
  <r>
    <n v="3297"/>
    <x v="66"/>
    <x v="0"/>
    <d v="2024-05-02T00:00:00"/>
    <x v="0"/>
    <n v="15"/>
    <x v="2"/>
    <s v="Yes"/>
    <x v="0"/>
    <s v="Yes"/>
    <n v="20"/>
    <n v="7"/>
    <x v="12"/>
  </r>
  <r>
    <n v="3298"/>
    <x v="67"/>
    <x v="2"/>
    <d v="2024-05-03T00:00:00"/>
    <x v="1"/>
    <n v="10"/>
    <x v="1"/>
    <s v="No"/>
    <x v="1"/>
    <s v="Yes"/>
    <n v="20"/>
    <n v="10"/>
    <x v="2"/>
  </r>
  <r>
    <n v="3299"/>
    <x v="68"/>
    <x v="1"/>
    <d v="2024-05-04T00:00:00"/>
    <x v="0"/>
    <n v="5"/>
    <x v="2"/>
    <s v="No"/>
    <x v="1"/>
    <s v="No"/>
    <n v="0"/>
    <n v="1"/>
    <x v="4"/>
  </r>
  <r>
    <n v="3300"/>
    <x v="69"/>
    <x v="0"/>
    <d v="2024-05-05T00:00:00"/>
    <x v="1"/>
    <n v="15"/>
    <x v="0"/>
    <s v="Yes"/>
    <x v="0"/>
    <s v="Yes"/>
    <n v="20"/>
    <n v="15"/>
    <x v="14"/>
  </r>
  <r>
    <n v="3301"/>
    <x v="70"/>
    <x v="2"/>
    <d v="2024-05-06T00:00:00"/>
    <x v="0"/>
    <n v="10"/>
    <x v="0"/>
    <s v="No"/>
    <x v="1"/>
    <s v="Yes"/>
    <n v="20"/>
    <n v="5"/>
    <x v="13"/>
  </r>
  <r>
    <n v="3302"/>
    <x v="71"/>
    <x v="1"/>
    <d v="2024-05-07T00:00:00"/>
    <x v="1"/>
    <n v="5"/>
    <x v="1"/>
    <s v="No"/>
    <x v="1"/>
    <s v="No"/>
    <n v="0"/>
    <n v="0"/>
    <x v="1"/>
  </r>
  <r>
    <n v="3303"/>
    <x v="72"/>
    <x v="0"/>
    <d v="2024-05-08T00:00:00"/>
    <x v="0"/>
    <n v="15"/>
    <x v="2"/>
    <s v="Yes"/>
    <x v="0"/>
    <s v="Yes"/>
    <n v="20"/>
    <n v="20"/>
    <x v="8"/>
  </r>
  <r>
    <n v="3304"/>
    <x v="73"/>
    <x v="2"/>
    <d v="2024-05-09T00:00:00"/>
    <x v="1"/>
    <n v="10"/>
    <x v="2"/>
    <s v="No"/>
    <x v="1"/>
    <s v="Yes"/>
    <n v="20"/>
    <n v="12"/>
    <x v="10"/>
  </r>
  <r>
    <n v="3305"/>
    <x v="74"/>
    <x v="1"/>
    <d v="2024-05-10T00:00:00"/>
    <x v="0"/>
    <n v="5"/>
    <x v="0"/>
    <s v="No"/>
    <x v="1"/>
    <s v="No"/>
    <n v="0"/>
    <n v="2"/>
    <x v="11"/>
  </r>
  <r>
    <n v="3306"/>
    <x v="75"/>
    <x v="0"/>
    <d v="2024-05-11T00:00:00"/>
    <x v="1"/>
    <n v="15"/>
    <x v="1"/>
    <s v="Yes"/>
    <x v="0"/>
    <s v="Yes"/>
    <n v="20"/>
    <n v="5"/>
    <x v="0"/>
  </r>
  <r>
    <n v="3307"/>
    <x v="76"/>
    <x v="2"/>
    <d v="2024-05-12T00:00:00"/>
    <x v="0"/>
    <n v="10"/>
    <x v="0"/>
    <s v="No"/>
    <x v="1"/>
    <s v="Yes"/>
    <n v="20"/>
    <n v="10"/>
    <x v="2"/>
  </r>
  <r>
    <n v="3308"/>
    <x v="77"/>
    <x v="1"/>
    <d v="2024-05-13T00:00:00"/>
    <x v="1"/>
    <n v="5"/>
    <x v="2"/>
    <s v="No"/>
    <x v="1"/>
    <s v="No"/>
    <n v="0"/>
    <n v="0"/>
    <x v="1"/>
  </r>
  <r>
    <n v="3309"/>
    <x v="78"/>
    <x v="0"/>
    <d v="2024-05-14T00:00:00"/>
    <x v="0"/>
    <n v="15"/>
    <x v="0"/>
    <s v="Yes"/>
    <x v="0"/>
    <s v="Yes"/>
    <n v="20"/>
    <n v="3"/>
    <x v="3"/>
  </r>
  <r>
    <n v="3310"/>
    <x v="79"/>
    <x v="2"/>
    <d v="2024-05-15T00:00:00"/>
    <x v="1"/>
    <n v="10"/>
    <x v="1"/>
    <s v="No"/>
    <x v="1"/>
    <s v="Yes"/>
    <n v="20"/>
    <n v="15"/>
    <x v="7"/>
  </r>
  <r>
    <n v="3311"/>
    <x v="80"/>
    <x v="1"/>
    <d v="2024-05-16T00:00:00"/>
    <x v="0"/>
    <n v="5"/>
    <x v="0"/>
    <s v="No"/>
    <x v="1"/>
    <s v="No"/>
    <n v="0"/>
    <n v="1"/>
    <x v="4"/>
  </r>
  <r>
    <n v="3312"/>
    <x v="81"/>
    <x v="0"/>
    <d v="2024-05-17T00:00:00"/>
    <x v="1"/>
    <n v="15"/>
    <x v="2"/>
    <s v="Yes"/>
    <x v="0"/>
    <s v="Yes"/>
    <n v="20"/>
    <n v="7"/>
    <x v="12"/>
  </r>
  <r>
    <n v="3313"/>
    <x v="82"/>
    <x v="2"/>
    <d v="2024-05-18T00:00:00"/>
    <x v="0"/>
    <n v="10"/>
    <x v="0"/>
    <s v="No"/>
    <x v="1"/>
    <s v="Yes"/>
    <n v="20"/>
    <n v="10"/>
    <x v="2"/>
  </r>
  <r>
    <n v="3314"/>
    <x v="83"/>
    <x v="1"/>
    <d v="2024-05-19T00:00:00"/>
    <x v="1"/>
    <n v="5"/>
    <x v="1"/>
    <s v="No"/>
    <x v="1"/>
    <s v="No"/>
    <n v="0"/>
    <n v="0"/>
    <x v="1"/>
  </r>
  <r>
    <n v="3315"/>
    <x v="84"/>
    <x v="0"/>
    <d v="2024-05-20T00:00:00"/>
    <x v="0"/>
    <n v="15"/>
    <x v="0"/>
    <s v="Yes"/>
    <x v="0"/>
    <s v="Yes"/>
    <n v="20"/>
    <n v="20"/>
    <x v="8"/>
  </r>
  <r>
    <n v="3316"/>
    <x v="85"/>
    <x v="2"/>
    <d v="2024-05-21T00:00:00"/>
    <x v="1"/>
    <n v="10"/>
    <x v="2"/>
    <s v="No"/>
    <x v="1"/>
    <s v="Yes"/>
    <n v="20"/>
    <n v="15"/>
    <x v="7"/>
  </r>
  <r>
    <n v="3317"/>
    <x v="86"/>
    <x v="1"/>
    <d v="2024-05-22T00:00:00"/>
    <x v="0"/>
    <n v="5"/>
    <x v="0"/>
    <s v="No"/>
    <x v="1"/>
    <s v="No"/>
    <n v="0"/>
    <n v="1"/>
    <x v="4"/>
  </r>
  <r>
    <n v="3318"/>
    <x v="87"/>
    <x v="0"/>
    <d v="2024-05-23T00:00:00"/>
    <x v="1"/>
    <n v="15"/>
    <x v="1"/>
    <s v="Yes"/>
    <x v="0"/>
    <s v="Yes"/>
    <n v="20"/>
    <n v="3"/>
    <x v="3"/>
  </r>
  <r>
    <n v="3319"/>
    <x v="88"/>
    <x v="2"/>
    <d v="2024-05-24T00:00:00"/>
    <x v="0"/>
    <n v="10"/>
    <x v="0"/>
    <s v="No"/>
    <x v="1"/>
    <s v="Yes"/>
    <n v="20"/>
    <n v="10"/>
    <x v="2"/>
  </r>
  <r>
    <n v="3320"/>
    <x v="89"/>
    <x v="1"/>
    <d v="2024-05-25T00:00:00"/>
    <x v="1"/>
    <n v="5"/>
    <x v="2"/>
    <s v="No"/>
    <x v="1"/>
    <s v="No"/>
    <n v="0"/>
    <n v="0"/>
    <x v="1"/>
  </r>
  <r>
    <n v="3321"/>
    <x v="90"/>
    <x v="0"/>
    <d v="2024-05-26T00:00:00"/>
    <x v="0"/>
    <n v="15"/>
    <x v="0"/>
    <s v="Yes"/>
    <x v="0"/>
    <s v="Yes"/>
    <n v="20"/>
    <n v="5"/>
    <x v="0"/>
  </r>
  <r>
    <n v="3322"/>
    <x v="91"/>
    <x v="2"/>
    <d v="2024-05-27T00:00:00"/>
    <x v="1"/>
    <n v="10"/>
    <x v="1"/>
    <s v="No"/>
    <x v="1"/>
    <s v="Yes"/>
    <n v="20"/>
    <n v="15"/>
    <x v="7"/>
  </r>
  <r>
    <n v="3323"/>
    <x v="92"/>
    <x v="1"/>
    <d v="2024-05-28T00:00:00"/>
    <x v="0"/>
    <n v="5"/>
    <x v="0"/>
    <s v="No"/>
    <x v="1"/>
    <s v="No"/>
    <n v="0"/>
    <n v="1"/>
    <x v="4"/>
  </r>
  <r>
    <n v="3324"/>
    <x v="93"/>
    <x v="0"/>
    <d v="2024-05-29T00:00:00"/>
    <x v="1"/>
    <n v="15"/>
    <x v="2"/>
    <s v="Yes"/>
    <x v="0"/>
    <s v="Yes"/>
    <n v="20"/>
    <n v="20"/>
    <x v="8"/>
  </r>
  <r>
    <n v="3325"/>
    <x v="94"/>
    <x v="2"/>
    <d v="2024-05-30T00:00:00"/>
    <x v="0"/>
    <n v="10"/>
    <x v="2"/>
    <s v="No"/>
    <x v="1"/>
    <s v="Yes"/>
    <n v="20"/>
    <n v="15"/>
    <x v="7"/>
  </r>
  <r>
    <n v="3326"/>
    <x v="95"/>
    <x v="1"/>
    <d v="2024-05-31T00:00:00"/>
    <x v="1"/>
    <n v="5"/>
    <x v="1"/>
    <s v="No"/>
    <x v="1"/>
    <s v="No"/>
    <n v="0"/>
    <n v="0"/>
    <x v="1"/>
  </r>
  <r>
    <n v="3327"/>
    <x v="96"/>
    <x v="0"/>
    <d v="2024-06-01T00:00:00"/>
    <x v="0"/>
    <n v="15"/>
    <x v="0"/>
    <s v="Yes"/>
    <x v="0"/>
    <s v="Yes"/>
    <n v="20"/>
    <n v="7"/>
    <x v="12"/>
  </r>
  <r>
    <n v="3328"/>
    <x v="97"/>
    <x v="2"/>
    <d v="2024-06-02T00:00:00"/>
    <x v="1"/>
    <n v="10"/>
    <x v="1"/>
    <s v="No"/>
    <x v="1"/>
    <s v="Yes"/>
    <n v="20"/>
    <n v="10"/>
    <x v="2"/>
  </r>
  <r>
    <n v="3329"/>
    <x v="98"/>
    <x v="1"/>
    <d v="2024-06-03T00:00:00"/>
    <x v="0"/>
    <n v="5"/>
    <x v="2"/>
    <s v="No"/>
    <x v="1"/>
    <s v="No"/>
    <n v="0"/>
    <n v="1"/>
    <x v="4"/>
  </r>
  <r>
    <n v="3330"/>
    <x v="99"/>
    <x v="0"/>
    <d v="2024-06-04T00:00:00"/>
    <x v="1"/>
    <n v="15"/>
    <x v="0"/>
    <s v="Yes"/>
    <x v="0"/>
    <s v="Yes"/>
    <n v="20"/>
    <n v="15"/>
    <x v="14"/>
  </r>
  <r>
    <n v="3331"/>
    <x v="100"/>
    <x v="2"/>
    <d v="2024-06-05T00:00:00"/>
    <x v="0"/>
    <n v="10"/>
    <x v="0"/>
    <s v="No"/>
    <x v="1"/>
    <s v="Yes"/>
    <n v="20"/>
    <n v="5"/>
    <x v="13"/>
  </r>
  <r>
    <n v="3332"/>
    <x v="101"/>
    <x v="1"/>
    <d v="2024-06-06T00:00:00"/>
    <x v="1"/>
    <n v="5"/>
    <x v="1"/>
    <s v="No"/>
    <x v="1"/>
    <s v="No"/>
    <n v="0"/>
    <n v="0"/>
    <x v="1"/>
  </r>
  <r>
    <n v="3333"/>
    <x v="102"/>
    <x v="0"/>
    <d v="2024-06-07T00:00:00"/>
    <x v="0"/>
    <n v="15"/>
    <x v="2"/>
    <s v="Yes"/>
    <x v="0"/>
    <s v="Yes"/>
    <n v="20"/>
    <n v="20"/>
    <x v="8"/>
  </r>
  <r>
    <n v="3334"/>
    <x v="103"/>
    <x v="2"/>
    <d v="2024-06-08T00:00:00"/>
    <x v="1"/>
    <n v="10"/>
    <x v="2"/>
    <s v="No"/>
    <x v="1"/>
    <s v="Yes"/>
    <n v="20"/>
    <n v="12"/>
    <x v="10"/>
  </r>
  <r>
    <n v="3335"/>
    <x v="104"/>
    <x v="1"/>
    <d v="2024-06-09T00:00:00"/>
    <x v="0"/>
    <n v="5"/>
    <x v="0"/>
    <s v="No"/>
    <x v="1"/>
    <s v="No"/>
    <n v="0"/>
    <n v="2"/>
    <x v="11"/>
  </r>
  <r>
    <n v="3336"/>
    <x v="105"/>
    <x v="1"/>
    <d v="2024-06-10T00:00:00"/>
    <x v="0"/>
    <n v="5"/>
    <x v="0"/>
    <s v="No"/>
    <x v="1"/>
    <s v="No"/>
    <n v="0"/>
    <n v="0"/>
    <x v="1"/>
  </r>
  <r>
    <n v="3337"/>
    <x v="106"/>
    <x v="0"/>
    <d v="2024-06-11T00:00:00"/>
    <x v="1"/>
    <n v="15"/>
    <x v="2"/>
    <s v="Yes"/>
    <x v="0"/>
    <s v="Yes"/>
    <n v="20"/>
    <n v="7"/>
    <x v="12"/>
  </r>
  <r>
    <n v="3338"/>
    <x v="107"/>
    <x v="2"/>
    <d v="2024-06-12T00:00:00"/>
    <x v="0"/>
    <n v="10"/>
    <x v="1"/>
    <s v="No"/>
    <x v="1"/>
    <s v="Yes"/>
    <n v="20"/>
    <n v="10"/>
    <x v="2"/>
  </r>
  <r>
    <n v="3339"/>
    <x v="108"/>
    <x v="1"/>
    <d v="2024-06-13T00:00:00"/>
    <x v="1"/>
    <n v="5"/>
    <x v="2"/>
    <s v="No"/>
    <x v="1"/>
    <s v="No"/>
    <n v="0"/>
    <n v="1"/>
    <x v="4"/>
  </r>
  <r>
    <n v="3340"/>
    <x v="109"/>
    <x v="0"/>
    <d v="2024-06-14T00:00:00"/>
    <x v="0"/>
    <n v="15"/>
    <x v="0"/>
    <s v="Yes"/>
    <x v="0"/>
    <s v="Yes"/>
    <n v="20"/>
    <n v="15"/>
    <x v="14"/>
  </r>
  <r>
    <n v="3341"/>
    <x v="110"/>
    <x v="2"/>
    <d v="2024-06-15T00:00:00"/>
    <x v="1"/>
    <n v="10"/>
    <x v="0"/>
    <s v="No"/>
    <x v="1"/>
    <s v="Yes"/>
    <n v="20"/>
    <n v="5"/>
    <x v="13"/>
  </r>
  <r>
    <n v="3342"/>
    <x v="111"/>
    <x v="1"/>
    <d v="2024-06-16T00:00:00"/>
    <x v="0"/>
    <n v="5"/>
    <x v="1"/>
    <s v="No"/>
    <x v="1"/>
    <s v="No"/>
    <n v="0"/>
    <n v="0"/>
    <x v="1"/>
  </r>
  <r>
    <n v="3343"/>
    <x v="112"/>
    <x v="0"/>
    <d v="2024-06-17T00:00:00"/>
    <x v="1"/>
    <n v="15"/>
    <x v="2"/>
    <s v="Yes"/>
    <x v="0"/>
    <s v="Yes"/>
    <n v="20"/>
    <n v="20"/>
    <x v="8"/>
  </r>
  <r>
    <n v="3344"/>
    <x v="113"/>
    <x v="2"/>
    <d v="2024-06-18T00:00:00"/>
    <x v="0"/>
    <n v="10"/>
    <x v="2"/>
    <s v="No"/>
    <x v="1"/>
    <s v="Yes"/>
    <n v="20"/>
    <n v="12"/>
    <x v="10"/>
  </r>
  <r>
    <n v="3345"/>
    <x v="114"/>
    <x v="1"/>
    <d v="2024-06-19T00:00:00"/>
    <x v="1"/>
    <n v="5"/>
    <x v="0"/>
    <s v="No"/>
    <x v="1"/>
    <s v="No"/>
    <n v="0"/>
    <n v="2"/>
    <x v="11"/>
  </r>
  <r>
    <n v="3346"/>
    <x v="115"/>
    <x v="0"/>
    <d v="2024-06-20T00:00:00"/>
    <x v="0"/>
    <n v="15"/>
    <x v="1"/>
    <s v="Yes"/>
    <x v="0"/>
    <s v="Yes"/>
    <n v="20"/>
    <n v="5"/>
    <x v="0"/>
  </r>
  <r>
    <n v="3347"/>
    <x v="116"/>
    <x v="2"/>
    <d v="2024-06-21T00:00:00"/>
    <x v="1"/>
    <n v="10"/>
    <x v="0"/>
    <s v="No"/>
    <x v="1"/>
    <s v="Yes"/>
    <n v="20"/>
    <n v="10"/>
    <x v="2"/>
  </r>
  <r>
    <n v="3348"/>
    <x v="117"/>
    <x v="1"/>
    <d v="2024-06-22T00:00:00"/>
    <x v="0"/>
    <n v="5"/>
    <x v="2"/>
    <s v="No"/>
    <x v="1"/>
    <s v="No"/>
    <n v="0"/>
    <n v="0"/>
    <x v="1"/>
  </r>
  <r>
    <n v="3349"/>
    <x v="93"/>
    <x v="0"/>
    <d v="2024-06-23T00:00:00"/>
    <x v="1"/>
    <n v="15"/>
    <x v="0"/>
    <s v="Yes"/>
    <x v="0"/>
    <s v="Yes"/>
    <n v="20"/>
    <n v="3"/>
    <x v="3"/>
  </r>
  <r>
    <n v="3350"/>
    <x v="118"/>
    <x v="2"/>
    <d v="2024-06-24T00:00:00"/>
    <x v="0"/>
    <n v="10"/>
    <x v="1"/>
    <s v="No"/>
    <x v="1"/>
    <s v="Yes"/>
    <n v="20"/>
    <n v="15"/>
    <x v="7"/>
  </r>
  <r>
    <n v="3351"/>
    <x v="119"/>
    <x v="1"/>
    <d v="2024-06-25T00:00:00"/>
    <x v="1"/>
    <n v="5"/>
    <x v="0"/>
    <s v="No"/>
    <x v="1"/>
    <s v="No"/>
    <n v="0"/>
    <n v="1"/>
    <x v="4"/>
  </r>
  <r>
    <n v="3352"/>
    <x v="120"/>
    <x v="0"/>
    <d v="2024-06-26T00:00:00"/>
    <x v="0"/>
    <n v="15"/>
    <x v="2"/>
    <s v="Yes"/>
    <x v="0"/>
    <s v="Yes"/>
    <n v="20"/>
    <n v="7"/>
    <x v="12"/>
  </r>
  <r>
    <n v="3353"/>
    <x v="121"/>
    <x v="2"/>
    <d v="2024-06-27T00:00:00"/>
    <x v="1"/>
    <n v="10"/>
    <x v="0"/>
    <s v="No"/>
    <x v="1"/>
    <s v="Yes"/>
    <n v="20"/>
    <n v="10"/>
    <x v="2"/>
  </r>
  <r>
    <n v="3354"/>
    <x v="122"/>
    <x v="1"/>
    <d v="2024-06-28T00:00:00"/>
    <x v="0"/>
    <n v="5"/>
    <x v="1"/>
    <s v="No"/>
    <x v="1"/>
    <s v="No"/>
    <n v="0"/>
    <n v="0"/>
    <x v="1"/>
  </r>
  <r>
    <n v="3355"/>
    <x v="123"/>
    <x v="0"/>
    <d v="2024-06-29T00:00:00"/>
    <x v="1"/>
    <n v="15"/>
    <x v="0"/>
    <s v="Yes"/>
    <x v="0"/>
    <s v="Yes"/>
    <n v="20"/>
    <n v="20"/>
    <x v="8"/>
  </r>
  <r>
    <n v="3356"/>
    <x v="124"/>
    <x v="2"/>
    <d v="2024-06-30T00:00:00"/>
    <x v="0"/>
    <n v="10"/>
    <x v="2"/>
    <s v="No"/>
    <x v="1"/>
    <s v="Yes"/>
    <n v="20"/>
    <n v="15"/>
    <x v="7"/>
  </r>
  <r>
    <n v="3357"/>
    <x v="125"/>
    <x v="1"/>
    <d v="2024-07-01T00:00:00"/>
    <x v="1"/>
    <n v="5"/>
    <x v="0"/>
    <s v="No"/>
    <x v="1"/>
    <s v="No"/>
    <n v="0"/>
    <n v="1"/>
    <x v="4"/>
  </r>
  <r>
    <n v="3358"/>
    <x v="126"/>
    <x v="0"/>
    <d v="2024-07-02T00:00:00"/>
    <x v="0"/>
    <n v="15"/>
    <x v="1"/>
    <s v="Yes"/>
    <x v="0"/>
    <s v="Yes"/>
    <n v="20"/>
    <n v="3"/>
    <x v="3"/>
  </r>
  <r>
    <n v="3359"/>
    <x v="127"/>
    <x v="2"/>
    <d v="2024-07-03T00:00:00"/>
    <x v="1"/>
    <n v="10"/>
    <x v="0"/>
    <s v="No"/>
    <x v="1"/>
    <s v="Yes"/>
    <n v="20"/>
    <n v="10"/>
    <x v="2"/>
  </r>
  <r>
    <n v="3360"/>
    <x v="128"/>
    <x v="1"/>
    <d v="2024-07-04T00:00:00"/>
    <x v="0"/>
    <n v="5"/>
    <x v="2"/>
    <s v="No"/>
    <x v="1"/>
    <s v="No"/>
    <n v="0"/>
    <n v="0"/>
    <x v="1"/>
  </r>
  <r>
    <n v="3361"/>
    <x v="129"/>
    <x v="0"/>
    <d v="2024-07-05T00:00:00"/>
    <x v="1"/>
    <n v="15"/>
    <x v="0"/>
    <s v="Yes"/>
    <x v="0"/>
    <s v="Yes"/>
    <n v="20"/>
    <n v="15"/>
    <x v="14"/>
  </r>
  <r>
    <n v="3362"/>
    <x v="130"/>
    <x v="2"/>
    <d v="2024-07-06T00:00:00"/>
    <x v="0"/>
    <n v="10"/>
    <x v="1"/>
    <s v="No"/>
    <x v="1"/>
    <s v="Yes"/>
    <n v="20"/>
    <n v="15"/>
    <x v="7"/>
  </r>
  <r>
    <n v="3363"/>
    <x v="131"/>
    <x v="1"/>
    <d v="2024-07-07T00:00:00"/>
    <x v="1"/>
    <n v="5"/>
    <x v="0"/>
    <s v="No"/>
    <x v="1"/>
    <s v="No"/>
    <n v="0"/>
    <n v="1"/>
    <x v="4"/>
  </r>
  <r>
    <n v="3364"/>
    <x v="132"/>
    <x v="0"/>
    <d v="2024-07-08T00:00:00"/>
    <x v="0"/>
    <n v="15"/>
    <x v="2"/>
    <s v="Yes"/>
    <x v="0"/>
    <s v="Yes"/>
    <n v="20"/>
    <n v="7"/>
    <x v="12"/>
  </r>
  <r>
    <n v="3365"/>
    <x v="133"/>
    <x v="2"/>
    <d v="2024-07-09T00:00:00"/>
    <x v="1"/>
    <n v="10"/>
    <x v="0"/>
    <s v="No"/>
    <x v="1"/>
    <s v="Yes"/>
    <n v="20"/>
    <n v="10"/>
    <x v="2"/>
  </r>
  <r>
    <n v="3366"/>
    <x v="134"/>
    <x v="1"/>
    <d v="2024-07-10T00:00:00"/>
    <x v="0"/>
    <n v="5"/>
    <x v="0"/>
    <s v="No"/>
    <x v="1"/>
    <s v="No"/>
    <n v="0"/>
    <n v="0"/>
    <x v="1"/>
  </r>
  <r>
    <n v="3367"/>
    <x v="135"/>
    <x v="0"/>
    <d v="2024-07-11T00:00:00"/>
    <x v="1"/>
    <n v="15"/>
    <x v="2"/>
    <s v="Yes"/>
    <x v="0"/>
    <s v="Yes"/>
    <n v="20"/>
    <n v="7"/>
    <x v="12"/>
  </r>
  <r>
    <n v="3368"/>
    <x v="136"/>
    <x v="2"/>
    <d v="2024-07-12T00:00:00"/>
    <x v="0"/>
    <n v="10"/>
    <x v="1"/>
    <s v="No"/>
    <x v="1"/>
    <s v="Yes"/>
    <n v="20"/>
    <n v="10"/>
    <x v="2"/>
  </r>
  <r>
    <n v="3369"/>
    <x v="137"/>
    <x v="1"/>
    <d v="2024-07-13T00:00:00"/>
    <x v="1"/>
    <n v="5"/>
    <x v="2"/>
    <s v="No"/>
    <x v="1"/>
    <s v="No"/>
    <n v="0"/>
    <n v="1"/>
    <x v="4"/>
  </r>
  <r>
    <n v="3370"/>
    <x v="138"/>
    <x v="0"/>
    <d v="2024-07-14T00:00:00"/>
    <x v="0"/>
    <n v="15"/>
    <x v="0"/>
    <s v="Yes"/>
    <x v="0"/>
    <s v="Yes"/>
    <n v="20"/>
    <n v="15"/>
    <x v="14"/>
  </r>
  <r>
    <n v="3371"/>
    <x v="139"/>
    <x v="2"/>
    <d v="2024-07-15T00:00:00"/>
    <x v="1"/>
    <n v="10"/>
    <x v="0"/>
    <s v="No"/>
    <x v="1"/>
    <s v="Yes"/>
    <n v="20"/>
    <n v="5"/>
    <x v="13"/>
  </r>
  <r>
    <n v="3372"/>
    <x v="140"/>
    <x v="1"/>
    <d v="2024-07-16T00:00:00"/>
    <x v="0"/>
    <n v="5"/>
    <x v="1"/>
    <s v="No"/>
    <x v="1"/>
    <s v="No"/>
    <n v="0"/>
    <n v="0"/>
    <x v="1"/>
  </r>
  <r>
    <n v="3373"/>
    <x v="141"/>
    <x v="0"/>
    <d v="2024-07-17T00:00:00"/>
    <x v="1"/>
    <n v="15"/>
    <x v="2"/>
    <s v="Yes"/>
    <x v="0"/>
    <s v="Yes"/>
    <n v="20"/>
    <n v="20"/>
    <x v="8"/>
  </r>
  <r>
    <n v="3374"/>
    <x v="142"/>
    <x v="2"/>
    <d v="2024-07-18T00:00:00"/>
    <x v="0"/>
    <n v="10"/>
    <x v="2"/>
    <s v="No"/>
    <x v="1"/>
    <s v="Yes"/>
    <n v="20"/>
    <n v="12"/>
    <x v="10"/>
  </r>
  <r>
    <n v="3375"/>
    <x v="143"/>
    <x v="1"/>
    <d v="2024-07-19T00:00:00"/>
    <x v="1"/>
    <n v="5"/>
    <x v="0"/>
    <s v="No"/>
    <x v="1"/>
    <s v="No"/>
    <n v="0"/>
    <n v="2"/>
    <x v="11"/>
  </r>
  <r>
    <n v="3376"/>
    <x v="144"/>
    <x v="0"/>
    <d v="2024-07-20T00:00:00"/>
    <x v="0"/>
    <n v="15"/>
    <x v="1"/>
    <s v="Yes"/>
    <x v="0"/>
    <s v="Yes"/>
    <n v="20"/>
    <n v="5"/>
    <x v="0"/>
  </r>
  <r>
    <n v="3377"/>
    <x v="145"/>
    <x v="2"/>
    <d v="2024-07-21T00:00:00"/>
    <x v="1"/>
    <n v="10"/>
    <x v="0"/>
    <s v="No"/>
    <x v="1"/>
    <s v="Yes"/>
    <n v="20"/>
    <n v="10"/>
    <x v="2"/>
  </r>
  <r>
    <n v="3378"/>
    <x v="146"/>
    <x v="1"/>
    <d v="2024-07-22T00:00:00"/>
    <x v="0"/>
    <n v="5"/>
    <x v="2"/>
    <s v="No"/>
    <x v="1"/>
    <s v="No"/>
    <n v="0"/>
    <n v="0"/>
    <x v="1"/>
  </r>
  <r>
    <n v="3379"/>
    <x v="147"/>
    <x v="0"/>
    <d v="2024-07-23T00:00:00"/>
    <x v="1"/>
    <n v="15"/>
    <x v="0"/>
    <s v="Yes"/>
    <x v="0"/>
    <s v="Yes"/>
    <n v="20"/>
    <n v="3"/>
    <x v="3"/>
  </r>
  <r>
    <n v="3380"/>
    <x v="148"/>
    <x v="2"/>
    <d v="2024-07-24T00:00:00"/>
    <x v="0"/>
    <n v="10"/>
    <x v="1"/>
    <s v="No"/>
    <x v="1"/>
    <s v="Yes"/>
    <n v="20"/>
    <n v="15"/>
    <x v="7"/>
  </r>
  <r>
    <n v="3381"/>
    <x v="149"/>
    <x v="1"/>
    <d v="2024-07-25T00:00:00"/>
    <x v="1"/>
    <n v="5"/>
    <x v="0"/>
    <s v="No"/>
    <x v="1"/>
    <s v="No"/>
    <n v="0"/>
    <n v="1"/>
    <x v="4"/>
  </r>
  <r>
    <n v="3382"/>
    <x v="150"/>
    <x v="0"/>
    <d v="2024-07-26T00:00:00"/>
    <x v="0"/>
    <n v="15"/>
    <x v="2"/>
    <s v="Yes"/>
    <x v="0"/>
    <s v="Yes"/>
    <n v="20"/>
    <n v="7"/>
    <x v="12"/>
  </r>
  <r>
    <n v="3383"/>
    <x v="151"/>
    <x v="2"/>
    <d v="2024-07-27T00:00:00"/>
    <x v="1"/>
    <n v="10"/>
    <x v="0"/>
    <s v="No"/>
    <x v="1"/>
    <s v="Yes"/>
    <n v="20"/>
    <n v="10"/>
    <x v="2"/>
  </r>
  <r>
    <n v="3384"/>
    <x v="152"/>
    <x v="1"/>
    <d v="2024-07-28T00:00:00"/>
    <x v="0"/>
    <n v="5"/>
    <x v="1"/>
    <s v="No"/>
    <x v="1"/>
    <s v="No"/>
    <n v="0"/>
    <n v="0"/>
    <x v="1"/>
  </r>
  <r>
    <n v="3385"/>
    <x v="153"/>
    <x v="0"/>
    <d v="2024-07-29T00:00:00"/>
    <x v="1"/>
    <n v="15"/>
    <x v="0"/>
    <s v="Yes"/>
    <x v="0"/>
    <s v="Yes"/>
    <n v="20"/>
    <n v="20"/>
    <x v="8"/>
  </r>
  <r>
    <n v="3386"/>
    <x v="154"/>
    <x v="2"/>
    <d v="2024-07-30T00:00:00"/>
    <x v="0"/>
    <n v="10"/>
    <x v="2"/>
    <s v="No"/>
    <x v="1"/>
    <s v="Yes"/>
    <n v="20"/>
    <n v="15"/>
    <x v="7"/>
  </r>
  <r>
    <n v="3387"/>
    <x v="155"/>
    <x v="1"/>
    <d v="2024-07-31T00:00:00"/>
    <x v="1"/>
    <n v="5"/>
    <x v="0"/>
    <s v="No"/>
    <x v="1"/>
    <s v="No"/>
    <n v="0"/>
    <n v="1"/>
    <x v="4"/>
  </r>
  <r>
    <n v="3388"/>
    <x v="156"/>
    <x v="0"/>
    <d v="2024-08-01T00:00:00"/>
    <x v="0"/>
    <n v="15"/>
    <x v="1"/>
    <s v="Yes"/>
    <x v="0"/>
    <s v="Yes"/>
    <n v="20"/>
    <n v="3"/>
    <x v="3"/>
  </r>
  <r>
    <n v="3389"/>
    <x v="157"/>
    <x v="2"/>
    <d v="2024-08-02T00:00:00"/>
    <x v="1"/>
    <n v="10"/>
    <x v="0"/>
    <s v="No"/>
    <x v="1"/>
    <s v="Yes"/>
    <n v="20"/>
    <n v="10"/>
    <x v="2"/>
  </r>
  <r>
    <n v="3390"/>
    <x v="158"/>
    <x v="1"/>
    <d v="2024-08-03T00:00:00"/>
    <x v="0"/>
    <n v="5"/>
    <x v="2"/>
    <s v="No"/>
    <x v="1"/>
    <s v="No"/>
    <n v="0"/>
    <n v="0"/>
    <x v="1"/>
  </r>
  <r>
    <n v="3391"/>
    <x v="58"/>
    <x v="0"/>
    <d v="2024-08-04T00:00:00"/>
    <x v="1"/>
    <n v="15"/>
    <x v="0"/>
    <s v="Yes"/>
    <x v="0"/>
    <s v="Yes"/>
    <n v="20"/>
    <n v="15"/>
    <x v="14"/>
  </r>
  <r>
    <n v="3392"/>
    <x v="159"/>
    <x v="2"/>
    <d v="2024-08-05T00:00:00"/>
    <x v="0"/>
    <n v="10"/>
    <x v="1"/>
    <s v="No"/>
    <x v="1"/>
    <s v="Yes"/>
    <n v="20"/>
    <n v="15"/>
    <x v="7"/>
  </r>
  <r>
    <n v="3393"/>
    <x v="160"/>
    <x v="1"/>
    <d v="2024-08-06T00:00:00"/>
    <x v="1"/>
    <n v="5"/>
    <x v="0"/>
    <s v="No"/>
    <x v="1"/>
    <s v="No"/>
    <n v="0"/>
    <n v="1"/>
    <x v="4"/>
  </r>
  <r>
    <n v="3394"/>
    <x v="161"/>
    <x v="0"/>
    <d v="2024-08-07T00:00:00"/>
    <x v="0"/>
    <n v="15"/>
    <x v="2"/>
    <s v="Yes"/>
    <x v="0"/>
    <s v="Yes"/>
    <n v="20"/>
    <n v="7"/>
    <x v="12"/>
  </r>
  <r>
    <n v="3395"/>
    <x v="162"/>
    <x v="2"/>
    <d v="2024-08-08T00:00:00"/>
    <x v="1"/>
    <n v="10"/>
    <x v="0"/>
    <s v="No"/>
    <x v="1"/>
    <s v="Yes"/>
    <n v="20"/>
    <n v="10"/>
    <x v="2"/>
  </r>
  <r>
    <n v="3396"/>
    <x v="163"/>
    <x v="1"/>
    <d v="2024-08-09T00:00:00"/>
    <x v="0"/>
    <n v="5"/>
    <x v="1"/>
    <s v="No"/>
    <x v="1"/>
    <s v="No"/>
    <n v="0"/>
    <n v="0"/>
    <x v="1"/>
  </r>
  <r>
    <n v="3397"/>
    <x v="90"/>
    <x v="0"/>
    <d v="2024-08-10T00:00:00"/>
    <x v="1"/>
    <n v="15"/>
    <x v="0"/>
    <s v="Yes"/>
    <x v="0"/>
    <s v="Yes"/>
    <n v="20"/>
    <n v="20"/>
    <x v="8"/>
  </r>
  <r>
    <n v="3398"/>
    <x v="164"/>
    <x v="2"/>
    <d v="2024-08-11T00:00:00"/>
    <x v="0"/>
    <n v="10"/>
    <x v="2"/>
    <s v="No"/>
    <x v="1"/>
    <s v="Yes"/>
    <n v="20"/>
    <n v="15"/>
    <x v="7"/>
  </r>
  <r>
    <n v="3399"/>
    <x v="165"/>
    <x v="1"/>
    <d v="2024-08-12T00:00:00"/>
    <x v="1"/>
    <n v="5"/>
    <x v="0"/>
    <s v="No"/>
    <x v="1"/>
    <s v="No"/>
    <n v="0"/>
    <n v="1"/>
    <x v="4"/>
  </r>
  <r>
    <n v="3400"/>
    <x v="166"/>
    <x v="0"/>
    <d v="2024-08-13T00:00:00"/>
    <x v="0"/>
    <n v="15"/>
    <x v="1"/>
    <s v="Yes"/>
    <x v="0"/>
    <s v="Yes"/>
    <n v="20"/>
    <n v="5"/>
    <x v="0"/>
  </r>
  <r>
    <n v="3401"/>
    <x v="167"/>
    <x v="2"/>
    <d v="2024-08-14T00:00:00"/>
    <x v="1"/>
    <n v="10"/>
    <x v="0"/>
    <s v="No"/>
    <x v="1"/>
    <s v="Yes"/>
    <n v="20"/>
    <n v="10"/>
    <x v="2"/>
  </r>
  <r>
    <n v="3402"/>
    <x v="168"/>
    <x v="1"/>
    <d v="2024-08-15T00:00:00"/>
    <x v="0"/>
    <n v="5"/>
    <x v="2"/>
    <s v="No"/>
    <x v="1"/>
    <s v="No"/>
    <n v="0"/>
    <n v="0"/>
    <x v="1"/>
  </r>
  <r>
    <n v="3403"/>
    <x v="169"/>
    <x v="0"/>
    <d v="2024-08-16T00:00:00"/>
    <x v="1"/>
    <n v="15"/>
    <x v="0"/>
    <s v="Yes"/>
    <x v="0"/>
    <s v="Yes"/>
    <n v="20"/>
    <n v="3"/>
    <x v="3"/>
  </r>
  <r>
    <n v="3404"/>
    <x v="170"/>
    <x v="2"/>
    <d v="2024-08-17T00:00:00"/>
    <x v="0"/>
    <n v="10"/>
    <x v="1"/>
    <s v="No"/>
    <x v="1"/>
    <s v="Yes"/>
    <n v="20"/>
    <n v="15"/>
    <x v="7"/>
  </r>
  <r>
    <n v="3405"/>
    <x v="171"/>
    <x v="1"/>
    <d v="2024-08-18T00:00:00"/>
    <x v="1"/>
    <n v="5"/>
    <x v="0"/>
    <s v="No"/>
    <x v="1"/>
    <s v="No"/>
    <n v="0"/>
    <n v="1"/>
    <x v="4"/>
  </r>
  <r>
    <n v="3406"/>
    <x v="172"/>
    <x v="1"/>
    <d v="2024-08-19T00:00:00"/>
    <x v="0"/>
    <n v="5"/>
    <x v="0"/>
    <s v="No"/>
    <x v="1"/>
    <s v="No"/>
    <n v="0"/>
    <n v="0"/>
    <x v="1"/>
  </r>
  <r>
    <n v="3407"/>
    <x v="173"/>
    <x v="0"/>
    <d v="2024-08-20T00:00:00"/>
    <x v="1"/>
    <n v="15"/>
    <x v="2"/>
    <s v="Yes"/>
    <x v="0"/>
    <s v="Yes"/>
    <n v="20"/>
    <n v="7"/>
    <x v="12"/>
  </r>
  <r>
    <n v="3408"/>
    <x v="174"/>
    <x v="2"/>
    <d v="2024-08-21T00:00:00"/>
    <x v="0"/>
    <n v="10"/>
    <x v="1"/>
    <s v="No"/>
    <x v="1"/>
    <s v="Yes"/>
    <n v="20"/>
    <n v="10"/>
    <x v="2"/>
  </r>
  <r>
    <n v="3409"/>
    <x v="175"/>
    <x v="1"/>
    <d v="2024-08-22T00:00:00"/>
    <x v="1"/>
    <n v="5"/>
    <x v="2"/>
    <s v="No"/>
    <x v="1"/>
    <s v="No"/>
    <n v="0"/>
    <n v="1"/>
    <x v="4"/>
  </r>
  <r>
    <n v="3410"/>
    <x v="176"/>
    <x v="0"/>
    <d v="2024-08-23T00:00:00"/>
    <x v="0"/>
    <n v="15"/>
    <x v="0"/>
    <s v="Yes"/>
    <x v="0"/>
    <s v="Yes"/>
    <n v="20"/>
    <n v="15"/>
    <x v="14"/>
  </r>
  <r>
    <n v="3411"/>
    <x v="177"/>
    <x v="2"/>
    <d v="2024-08-24T00:00:00"/>
    <x v="1"/>
    <n v="10"/>
    <x v="0"/>
    <s v="No"/>
    <x v="1"/>
    <s v="Yes"/>
    <n v="20"/>
    <n v="5"/>
    <x v="13"/>
  </r>
  <r>
    <n v="3412"/>
    <x v="178"/>
    <x v="1"/>
    <d v="2024-08-25T00:00:00"/>
    <x v="0"/>
    <n v="5"/>
    <x v="1"/>
    <s v="No"/>
    <x v="1"/>
    <s v="No"/>
    <n v="0"/>
    <n v="0"/>
    <x v="1"/>
  </r>
  <r>
    <n v="3413"/>
    <x v="179"/>
    <x v="0"/>
    <d v="2024-08-26T00:00:00"/>
    <x v="1"/>
    <n v="15"/>
    <x v="2"/>
    <s v="Yes"/>
    <x v="0"/>
    <s v="Yes"/>
    <n v="20"/>
    <n v="20"/>
    <x v="8"/>
  </r>
  <r>
    <n v="3414"/>
    <x v="180"/>
    <x v="2"/>
    <d v="2024-08-27T00:00:00"/>
    <x v="0"/>
    <n v="10"/>
    <x v="2"/>
    <s v="No"/>
    <x v="1"/>
    <s v="Yes"/>
    <n v="20"/>
    <n v="12"/>
    <x v="10"/>
  </r>
  <r>
    <n v="3415"/>
    <x v="181"/>
    <x v="1"/>
    <d v="2024-08-28T00:00:00"/>
    <x v="1"/>
    <n v="5"/>
    <x v="0"/>
    <s v="No"/>
    <x v="1"/>
    <s v="No"/>
    <n v="0"/>
    <n v="2"/>
    <x v="11"/>
  </r>
  <r>
    <n v="3416"/>
    <x v="182"/>
    <x v="0"/>
    <d v="2024-08-29T00:00:00"/>
    <x v="0"/>
    <n v="15"/>
    <x v="1"/>
    <s v="Yes"/>
    <x v="0"/>
    <s v="Yes"/>
    <n v="20"/>
    <n v="5"/>
    <x v="0"/>
  </r>
  <r>
    <n v="3417"/>
    <x v="183"/>
    <x v="2"/>
    <d v="2024-08-30T00:00:00"/>
    <x v="1"/>
    <n v="10"/>
    <x v="0"/>
    <s v="No"/>
    <x v="1"/>
    <s v="Yes"/>
    <n v="20"/>
    <n v="10"/>
    <x v="2"/>
  </r>
  <r>
    <n v="3418"/>
    <x v="184"/>
    <x v="1"/>
    <d v="2024-08-31T00:00:00"/>
    <x v="0"/>
    <n v="5"/>
    <x v="2"/>
    <s v="No"/>
    <x v="1"/>
    <s v="No"/>
    <n v="0"/>
    <n v="0"/>
    <x v="1"/>
  </r>
  <r>
    <n v="3419"/>
    <x v="185"/>
    <x v="0"/>
    <d v="2024-09-01T00:00:00"/>
    <x v="1"/>
    <n v="15"/>
    <x v="0"/>
    <s v="Yes"/>
    <x v="0"/>
    <s v="Yes"/>
    <n v="20"/>
    <n v="3"/>
    <x v="3"/>
  </r>
  <r>
    <n v="3420"/>
    <x v="186"/>
    <x v="2"/>
    <d v="2024-09-02T00:00:00"/>
    <x v="0"/>
    <n v="10"/>
    <x v="1"/>
    <s v="No"/>
    <x v="1"/>
    <s v="Yes"/>
    <n v="20"/>
    <n v="15"/>
    <x v="7"/>
  </r>
  <r>
    <n v="3421"/>
    <x v="15"/>
    <x v="1"/>
    <d v="2024-09-03T00:00:00"/>
    <x v="1"/>
    <n v="5"/>
    <x v="0"/>
    <s v="No"/>
    <x v="1"/>
    <s v="No"/>
    <n v="0"/>
    <n v="1"/>
    <x v="4"/>
  </r>
  <r>
    <n v="3422"/>
    <x v="187"/>
    <x v="0"/>
    <d v="2024-09-04T00:00:00"/>
    <x v="0"/>
    <n v="15"/>
    <x v="2"/>
    <s v="Yes"/>
    <x v="0"/>
    <s v="Yes"/>
    <n v="20"/>
    <n v="7"/>
    <x v="12"/>
  </r>
  <r>
    <n v="3423"/>
    <x v="188"/>
    <x v="2"/>
    <d v="2024-09-05T00:00:00"/>
    <x v="1"/>
    <n v="10"/>
    <x v="0"/>
    <s v="No"/>
    <x v="1"/>
    <s v="Yes"/>
    <n v="20"/>
    <n v="10"/>
    <x v="2"/>
  </r>
  <r>
    <n v="3424"/>
    <x v="14"/>
    <x v="1"/>
    <d v="2024-09-06T00:00:00"/>
    <x v="0"/>
    <n v="5"/>
    <x v="1"/>
    <s v="No"/>
    <x v="1"/>
    <s v="No"/>
    <n v="0"/>
    <n v="0"/>
    <x v="1"/>
  </r>
  <r>
    <n v="3425"/>
    <x v="189"/>
    <x v="0"/>
    <d v="2024-09-07T00:00:00"/>
    <x v="1"/>
    <n v="15"/>
    <x v="0"/>
    <s v="Yes"/>
    <x v="0"/>
    <s v="Yes"/>
    <n v="20"/>
    <n v="20"/>
    <x v="8"/>
  </r>
  <r>
    <n v="3426"/>
    <x v="167"/>
    <x v="2"/>
    <d v="2024-09-08T00:00:00"/>
    <x v="0"/>
    <n v="10"/>
    <x v="2"/>
    <s v="No"/>
    <x v="1"/>
    <s v="Yes"/>
    <n v="20"/>
    <n v="15"/>
    <x v="7"/>
  </r>
  <r>
    <n v="3427"/>
    <x v="190"/>
    <x v="1"/>
    <d v="2024-09-09T00:00:00"/>
    <x v="1"/>
    <n v="5"/>
    <x v="0"/>
    <s v="No"/>
    <x v="1"/>
    <s v="No"/>
    <n v="0"/>
    <n v="1"/>
    <x v="4"/>
  </r>
  <r>
    <n v="3428"/>
    <x v="191"/>
    <x v="0"/>
    <d v="2024-09-10T00:00:00"/>
    <x v="0"/>
    <n v="15"/>
    <x v="1"/>
    <s v="Yes"/>
    <x v="0"/>
    <s v="Yes"/>
    <n v="20"/>
    <n v="3"/>
    <x v="3"/>
  </r>
  <r>
    <n v="3429"/>
    <x v="192"/>
    <x v="2"/>
    <d v="2024-09-11T00:00:00"/>
    <x v="1"/>
    <n v="10"/>
    <x v="0"/>
    <s v="No"/>
    <x v="1"/>
    <s v="Yes"/>
    <n v="20"/>
    <n v="10"/>
    <x v="2"/>
  </r>
  <r>
    <n v="3430"/>
    <x v="193"/>
    <x v="1"/>
    <d v="2024-09-12T00:00:00"/>
    <x v="0"/>
    <n v="5"/>
    <x v="2"/>
    <s v="No"/>
    <x v="1"/>
    <s v="No"/>
    <n v="0"/>
    <n v="0"/>
    <x v="1"/>
  </r>
  <r>
    <n v="3431"/>
    <x v="194"/>
    <x v="0"/>
    <d v="2024-09-13T00:00:00"/>
    <x v="1"/>
    <n v="15"/>
    <x v="0"/>
    <s v="Yes"/>
    <x v="0"/>
    <s v="Yes"/>
    <n v="20"/>
    <n v="15"/>
    <x v="14"/>
  </r>
  <r>
    <n v="3432"/>
    <x v="195"/>
    <x v="2"/>
    <d v="2024-09-14T00:00:00"/>
    <x v="0"/>
    <n v="10"/>
    <x v="1"/>
    <s v="No"/>
    <x v="1"/>
    <s v="Yes"/>
    <n v="20"/>
    <n v="15"/>
    <x v="7"/>
  </r>
  <r>
    <n v="3433"/>
    <x v="196"/>
    <x v="1"/>
    <d v="2024-09-15T00:00:00"/>
    <x v="1"/>
    <n v="5"/>
    <x v="0"/>
    <s v="No"/>
    <x v="1"/>
    <s v="No"/>
    <n v="0"/>
    <n v="1"/>
    <x v="4"/>
  </r>
  <r>
    <n v="3434"/>
    <x v="197"/>
    <x v="0"/>
    <d v="2024-09-16T00:00:00"/>
    <x v="0"/>
    <n v="15"/>
    <x v="2"/>
    <s v="Yes"/>
    <x v="0"/>
    <s v="Yes"/>
    <n v="20"/>
    <n v="7"/>
    <x v="12"/>
  </r>
  <r>
    <n v="3435"/>
    <x v="198"/>
    <x v="2"/>
    <d v="2024-09-17T00:00:00"/>
    <x v="1"/>
    <n v="10"/>
    <x v="0"/>
    <s v="No"/>
    <x v="1"/>
    <s v="Yes"/>
    <n v="20"/>
    <n v="10"/>
    <x v="2"/>
  </r>
  <r>
    <n v="3436"/>
    <x v="199"/>
    <x v="1"/>
    <d v="2024-09-18T00:00:00"/>
    <x v="0"/>
    <n v="5"/>
    <x v="0"/>
    <s v="No"/>
    <x v="1"/>
    <s v="No"/>
    <n v="0"/>
    <n v="0"/>
    <x v="1"/>
  </r>
  <r>
    <n v="3437"/>
    <x v="200"/>
    <x v="0"/>
    <d v="2024-09-19T00:00:00"/>
    <x v="1"/>
    <n v="15"/>
    <x v="2"/>
    <s v="Yes"/>
    <x v="0"/>
    <s v="Yes"/>
    <n v="20"/>
    <n v="7"/>
    <x v="12"/>
  </r>
  <r>
    <n v="3438"/>
    <x v="201"/>
    <x v="2"/>
    <d v="2024-09-20T00:00:00"/>
    <x v="0"/>
    <n v="10"/>
    <x v="1"/>
    <s v="No"/>
    <x v="1"/>
    <s v="Yes"/>
    <n v="20"/>
    <n v="10"/>
    <x v="2"/>
  </r>
  <r>
    <n v="3439"/>
    <x v="202"/>
    <x v="1"/>
    <d v="2024-09-21T00:00:00"/>
    <x v="1"/>
    <n v="5"/>
    <x v="2"/>
    <s v="No"/>
    <x v="1"/>
    <s v="No"/>
    <n v="0"/>
    <n v="1"/>
    <x v="4"/>
  </r>
  <r>
    <n v="3440"/>
    <x v="203"/>
    <x v="0"/>
    <d v="2024-09-22T00:00:00"/>
    <x v="0"/>
    <n v="15"/>
    <x v="0"/>
    <s v="Yes"/>
    <x v="0"/>
    <s v="Yes"/>
    <n v="20"/>
    <n v="15"/>
    <x v="14"/>
  </r>
  <r>
    <n v="3441"/>
    <x v="204"/>
    <x v="2"/>
    <d v="2024-09-23T00:00:00"/>
    <x v="1"/>
    <n v="10"/>
    <x v="0"/>
    <s v="No"/>
    <x v="1"/>
    <s v="Yes"/>
    <n v="20"/>
    <n v="5"/>
    <x v="13"/>
  </r>
  <r>
    <n v="3442"/>
    <x v="205"/>
    <x v="1"/>
    <d v="2024-09-24T00:00:00"/>
    <x v="0"/>
    <n v="5"/>
    <x v="1"/>
    <s v="No"/>
    <x v="1"/>
    <s v="No"/>
    <n v="0"/>
    <n v="0"/>
    <x v="1"/>
  </r>
  <r>
    <n v="3443"/>
    <x v="206"/>
    <x v="0"/>
    <d v="2024-09-25T00:00:00"/>
    <x v="1"/>
    <n v="15"/>
    <x v="2"/>
    <s v="Yes"/>
    <x v="0"/>
    <s v="Yes"/>
    <n v="20"/>
    <n v="20"/>
    <x v="8"/>
  </r>
  <r>
    <n v="3444"/>
    <x v="207"/>
    <x v="2"/>
    <d v="2024-09-26T00:00:00"/>
    <x v="0"/>
    <n v="10"/>
    <x v="2"/>
    <s v="No"/>
    <x v="1"/>
    <s v="Yes"/>
    <n v="20"/>
    <n v="12"/>
    <x v="10"/>
  </r>
  <r>
    <n v="3445"/>
    <x v="37"/>
    <x v="1"/>
    <d v="2024-09-27T00:00:00"/>
    <x v="1"/>
    <n v="5"/>
    <x v="0"/>
    <s v="No"/>
    <x v="1"/>
    <s v="No"/>
    <n v="0"/>
    <n v="2"/>
    <x v="11"/>
  </r>
  <r>
    <n v="3446"/>
    <x v="208"/>
    <x v="0"/>
    <d v="2024-09-28T00:00:00"/>
    <x v="0"/>
    <n v="15"/>
    <x v="1"/>
    <s v="Yes"/>
    <x v="0"/>
    <s v="Yes"/>
    <n v="20"/>
    <n v="5"/>
    <x v="0"/>
  </r>
  <r>
    <n v="3447"/>
    <x v="209"/>
    <x v="2"/>
    <d v="2024-09-29T00:00:00"/>
    <x v="1"/>
    <n v="10"/>
    <x v="0"/>
    <s v="No"/>
    <x v="1"/>
    <s v="Yes"/>
    <n v="20"/>
    <n v="10"/>
    <x v="2"/>
  </r>
  <r>
    <n v="3448"/>
    <x v="210"/>
    <x v="1"/>
    <d v="2024-09-30T00:00:00"/>
    <x v="0"/>
    <n v="5"/>
    <x v="2"/>
    <s v="No"/>
    <x v="1"/>
    <s v="No"/>
    <n v="0"/>
    <n v="0"/>
    <x v="1"/>
  </r>
  <r>
    <n v="3449"/>
    <x v="211"/>
    <x v="0"/>
    <d v="2024-10-01T00:00:00"/>
    <x v="1"/>
    <n v="15"/>
    <x v="0"/>
    <s v="Yes"/>
    <x v="0"/>
    <s v="Yes"/>
    <n v="20"/>
    <n v="3"/>
    <x v="3"/>
  </r>
  <r>
    <n v="3450"/>
    <x v="212"/>
    <x v="2"/>
    <d v="2024-10-02T00:00:00"/>
    <x v="0"/>
    <n v="10"/>
    <x v="1"/>
    <s v="No"/>
    <x v="1"/>
    <s v="Yes"/>
    <n v="20"/>
    <n v="15"/>
    <x v="7"/>
  </r>
  <r>
    <n v="3451"/>
    <x v="213"/>
    <x v="1"/>
    <d v="2024-10-03T00:00:00"/>
    <x v="1"/>
    <n v="5"/>
    <x v="0"/>
    <s v="No"/>
    <x v="1"/>
    <s v="No"/>
    <n v="0"/>
    <n v="1"/>
    <x v="4"/>
  </r>
  <r>
    <n v="3452"/>
    <x v="191"/>
    <x v="0"/>
    <d v="2024-10-04T00:00:00"/>
    <x v="0"/>
    <n v="15"/>
    <x v="2"/>
    <s v="Yes"/>
    <x v="0"/>
    <s v="Yes"/>
    <n v="20"/>
    <n v="7"/>
    <x v="12"/>
  </r>
  <r>
    <n v="3453"/>
    <x v="45"/>
    <x v="2"/>
    <d v="2024-10-05T00:00:00"/>
    <x v="1"/>
    <n v="10"/>
    <x v="0"/>
    <s v="No"/>
    <x v="1"/>
    <s v="Yes"/>
    <n v="20"/>
    <n v="10"/>
    <x v="2"/>
  </r>
  <r>
    <n v="3454"/>
    <x v="214"/>
    <x v="1"/>
    <d v="2024-10-06T00:00:00"/>
    <x v="0"/>
    <n v="5"/>
    <x v="1"/>
    <s v="No"/>
    <x v="1"/>
    <s v="No"/>
    <n v="0"/>
    <n v="0"/>
    <x v="1"/>
  </r>
  <r>
    <n v="3455"/>
    <x v="215"/>
    <x v="0"/>
    <d v="2024-10-07T00:00:00"/>
    <x v="1"/>
    <n v="15"/>
    <x v="0"/>
    <s v="Yes"/>
    <x v="0"/>
    <s v="Yes"/>
    <n v="20"/>
    <n v="20"/>
    <x v="8"/>
  </r>
  <r>
    <n v="3456"/>
    <x v="216"/>
    <x v="2"/>
    <d v="2024-10-08T00:00:00"/>
    <x v="0"/>
    <n v="10"/>
    <x v="2"/>
    <s v="No"/>
    <x v="1"/>
    <s v="Yes"/>
    <n v="20"/>
    <n v="15"/>
    <x v="7"/>
  </r>
  <r>
    <n v="3457"/>
    <x v="217"/>
    <x v="1"/>
    <d v="2024-10-09T00:00:00"/>
    <x v="1"/>
    <n v="5"/>
    <x v="0"/>
    <s v="No"/>
    <x v="1"/>
    <s v="No"/>
    <n v="0"/>
    <n v="1"/>
    <x v="4"/>
  </r>
  <r>
    <n v="3458"/>
    <x v="218"/>
    <x v="0"/>
    <d v="2024-10-10T00:00:00"/>
    <x v="0"/>
    <n v="15"/>
    <x v="1"/>
    <s v="Yes"/>
    <x v="0"/>
    <s v="Yes"/>
    <n v="20"/>
    <n v="3"/>
    <x v="3"/>
  </r>
  <r>
    <n v="3459"/>
    <x v="219"/>
    <x v="2"/>
    <d v="2024-10-11T00:00:00"/>
    <x v="1"/>
    <n v="10"/>
    <x v="0"/>
    <s v="No"/>
    <x v="1"/>
    <s v="Yes"/>
    <n v="20"/>
    <n v="10"/>
    <x v="2"/>
  </r>
  <r>
    <n v="3460"/>
    <x v="127"/>
    <x v="1"/>
    <d v="2024-10-12T00:00:00"/>
    <x v="0"/>
    <n v="5"/>
    <x v="2"/>
    <s v="No"/>
    <x v="1"/>
    <s v="No"/>
    <n v="0"/>
    <n v="0"/>
    <x v="1"/>
  </r>
  <r>
    <n v="3461"/>
    <x v="220"/>
    <x v="0"/>
    <d v="2024-10-13T00:00:00"/>
    <x v="1"/>
    <n v="15"/>
    <x v="0"/>
    <s v="Yes"/>
    <x v="0"/>
    <s v="Yes"/>
    <n v="20"/>
    <n v="15"/>
    <x v="14"/>
  </r>
  <r>
    <n v="3462"/>
    <x v="221"/>
    <x v="2"/>
    <d v="2024-10-14T00:00:00"/>
    <x v="0"/>
    <n v="10"/>
    <x v="1"/>
    <s v="No"/>
    <x v="1"/>
    <s v="Yes"/>
    <n v="20"/>
    <n v="15"/>
    <x v="7"/>
  </r>
  <r>
    <n v="3463"/>
    <x v="222"/>
    <x v="1"/>
    <d v="2024-10-15T00:00:00"/>
    <x v="1"/>
    <n v="5"/>
    <x v="0"/>
    <s v="No"/>
    <x v="1"/>
    <s v="No"/>
    <n v="0"/>
    <n v="1"/>
    <x v="4"/>
  </r>
  <r>
    <n v="3464"/>
    <x v="223"/>
    <x v="0"/>
    <d v="2024-10-16T00:00:00"/>
    <x v="0"/>
    <n v="15"/>
    <x v="2"/>
    <s v="Yes"/>
    <x v="0"/>
    <s v="Yes"/>
    <n v="20"/>
    <n v="7"/>
    <x v="12"/>
  </r>
  <r>
    <n v="3465"/>
    <x v="224"/>
    <x v="2"/>
    <d v="2024-10-17T00:00:00"/>
    <x v="1"/>
    <n v="10"/>
    <x v="0"/>
    <s v="No"/>
    <x v="1"/>
    <s v="Yes"/>
    <n v="20"/>
    <n v="10"/>
    <x v="2"/>
  </r>
  <r>
    <n v="3466"/>
    <x v="225"/>
    <x v="1"/>
    <d v="2024-10-18T00:00:00"/>
    <x v="0"/>
    <n v="5"/>
    <x v="1"/>
    <s v="No"/>
    <x v="1"/>
    <s v="No"/>
    <n v="0"/>
    <n v="0"/>
    <x v="1"/>
  </r>
  <r>
    <n v="3467"/>
    <x v="226"/>
    <x v="0"/>
    <d v="2024-10-19T00:00:00"/>
    <x v="1"/>
    <n v="15"/>
    <x v="0"/>
    <s v="Yes"/>
    <x v="0"/>
    <s v="Yes"/>
    <n v="20"/>
    <n v="15"/>
    <x v="14"/>
  </r>
  <r>
    <n v="3468"/>
    <x v="227"/>
    <x v="2"/>
    <d v="2024-10-20T00:00:00"/>
    <x v="0"/>
    <n v="10"/>
    <x v="2"/>
    <s v="No"/>
    <x v="1"/>
    <s v="Yes"/>
    <n v="20"/>
    <n v="12"/>
    <x v="10"/>
  </r>
  <r>
    <n v="3469"/>
    <x v="228"/>
    <x v="1"/>
    <d v="2024-10-21T00:00:00"/>
    <x v="1"/>
    <n v="5"/>
    <x v="0"/>
    <s v="No"/>
    <x v="1"/>
    <s v="No"/>
    <n v="0"/>
    <n v="2"/>
    <x v="11"/>
  </r>
  <r>
    <n v="3470"/>
    <x v="229"/>
    <x v="0"/>
    <d v="2024-10-22T00:00:00"/>
    <x v="0"/>
    <n v="15"/>
    <x v="1"/>
    <s v="Yes"/>
    <x v="0"/>
    <s v="Yes"/>
    <n v="20"/>
    <n v="5"/>
    <x v="0"/>
  </r>
  <r>
    <n v="3471"/>
    <x v="230"/>
    <x v="2"/>
    <d v="2024-10-23T00:00:00"/>
    <x v="1"/>
    <n v="10"/>
    <x v="0"/>
    <s v="No"/>
    <x v="1"/>
    <s v="Yes"/>
    <n v="20"/>
    <n v="10"/>
    <x v="2"/>
  </r>
  <r>
    <n v="3472"/>
    <x v="231"/>
    <x v="1"/>
    <d v="2024-10-24T00:00:00"/>
    <x v="0"/>
    <n v="5"/>
    <x v="2"/>
    <s v="No"/>
    <x v="1"/>
    <s v="No"/>
    <n v="0"/>
    <n v="0"/>
    <x v="1"/>
  </r>
  <r>
    <n v="3473"/>
    <x v="140"/>
    <x v="0"/>
    <d v="2024-10-25T00:00:00"/>
    <x v="1"/>
    <n v="15"/>
    <x v="0"/>
    <s v="Yes"/>
    <x v="0"/>
    <s v="Yes"/>
    <n v="20"/>
    <n v="3"/>
    <x v="3"/>
  </r>
  <r>
    <n v="3474"/>
    <x v="232"/>
    <x v="2"/>
    <d v="2024-10-26T00:00:00"/>
    <x v="0"/>
    <n v="10"/>
    <x v="1"/>
    <s v="No"/>
    <x v="1"/>
    <s v="Yes"/>
    <n v="20"/>
    <n v="15"/>
    <x v="7"/>
  </r>
  <r>
    <n v="3475"/>
    <x v="233"/>
    <x v="1"/>
    <d v="2024-10-27T00:00:00"/>
    <x v="1"/>
    <n v="5"/>
    <x v="0"/>
    <s v="No"/>
    <x v="1"/>
    <s v="No"/>
    <n v="0"/>
    <n v="1"/>
    <x v="4"/>
  </r>
  <r>
    <n v="3476"/>
    <x v="234"/>
    <x v="0"/>
    <d v="2024-10-28T00:00:00"/>
    <x v="0"/>
    <n v="15"/>
    <x v="2"/>
    <s v="Yes"/>
    <x v="0"/>
    <s v="Yes"/>
    <n v="20"/>
    <n v="7"/>
    <x v="12"/>
  </r>
  <r>
    <n v="3477"/>
    <x v="235"/>
    <x v="2"/>
    <d v="2024-10-29T00:00:00"/>
    <x v="1"/>
    <n v="10"/>
    <x v="0"/>
    <s v="No"/>
    <x v="1"/>
    <s v="Yes"/>
    <n v="20"/>
    <n v="10"/>
    <x v="2"/>
  </r>
  <r>
    <n v="3478"/>
    <x v="236"/>
    <x v="1"/>
    <d v="2024-10-30T00:00:00"/>
    <x v="0"/>
    <n v="5"/>
    <x v="1"/>
    <s v="No"/>
    <x v="1"/>
    <s v="No"/>
    <n v="0"/>
    <n v="0"/>
    <x v="1"/>
  </r>
  <r>
    <n v="3479"/>
    <x v="237"/>
    <x v="0"/>
    <d v="2024-10-31T00:00:00"/>
    <x v="1"/>
    <n v="15"/>
    <x v="0"/>
    <s v="Yes"/>
    <x v="0"/>
    <s v="Yes"/>
    <n v="20"/>
    <n v="20"/>
    <x v="8"/>
  </r>
  <r>
    <n v="3480"/>
    <x v="238"/>
    <x v="2"/>
    <d v="2024-11-01T00:00:00"/>
    <x v="0"/>
    <n v="10"/>
    <x v="2"/>
    <s v="No"/>
    <x v="1"/>
    <s v="Yes"/>
    <n v="20"/>
    <n v="15"/>
    <x v="7"/>
  </r>
  <r>
    <n v="3481"/>
    <x v="239"/>
    <x v="1"/>
    <d v="2024-11-02T00:00:00"/>
    <x v="1"/>
    <n v="5"/>
    <x v="0"/>
    <s v="No"/>
    <x v="1"/>
    <s v="No"/>
    <n v="0"/>
    <n v="1"/>
    <x v="4"/>
  </r>
  <r>
    <n v="3482"/>
    <x v="240"/>
    <x v="0"/>
    <d v="2024-11-03T00:00:00"/>
    <x v="0"/>
    <n v="15"/>
    <x v="1"/>
    <s v="Yes"/>
    <x v="0"/>
    <s v="Yes"/>
    <n v="20"/>
    <n v="3"/>
    <x v="3"/>
  </r>
  <r>
    <n v="3483"/>
    <x v="241"/>
    <x v="2"/>
    <d v="2024-11-04T00:00:00"/>
    <x v="1"/>
    <n v="10"/>
    <x v="0"/>
    <s v="No"/>
    <x v="1"/>
    <s v="Yes"/>
    <n v="20"/>
    <n v="10"/>
    <x v="2"/>
  </r>
  <r>
    <n v="3484"/>
    <x v="242"/>
    <x v="1"/>
    <d v="2024-11-05T00:00:00"/>
    <x v="0"/>
    <n v="5"/>
    <x v="2"/>
    <s v="No"/>
    <x v="1"/>
    <s v="No"/>
    <n v="0"/>
    <n v="0"/>
    <x v="1"/>
  </r>
  <r>
    <n v="3485"/>
    <x v="243"/>
    <x v="0"/>
    <d v="2024-11-06T00:00:00"/>
    <x v="1"/>
    <n v="15"/>
    <x v="0"/>
    <s v="Yes"/>
    <x v="0"/>
    <s v="Yes"/>
    <n v="20"/>
    <n v="15"/>
    <x v="14"/>
  </r>
  <r>
    <n v="3486"/>
    <x v="244"/>
    <x v="1"/>
    <d v="2024-11-07T00:00:00"/>
    <x v="0"/>
    <n v="5"/>
    <x v="0"/>
    <s v="No"/>
    <x v="1"/>
    <s v="No"/>
    <n v="0"/>
    <n v="0"/>
    <x v="1"/>
  </r>
  <r>
    <n v="3487"/>
    <x v="245"/>
    <x v="0"/>
    <d v="2024-11-08T00:00:00"/>
    <x v="1"/>
    <n v="15"/>
    <x v="2"/>
    <s v="Yes"/>
    <x v="0"/>
    <s v="Yes"/>
    <n v="20"/>
    <n v="7"/>
    <x v="12"/>
  </r>
  <r>
    <n v="3488"/>
    <x v="246"/>
    <x v="2"/>
    <d v="2024-11-09T00:00:00"/>
    <x v="0"/>
    <n v="10"/>
    <x v="1"/>
    <s v="No"/>
    <x v="1"/>
    <s v="Yes"/>
    <n v="20"/>
    <n v="10"/>
    <x v="2"/>
  </r>
  <r>
    <n v="3489"/>
    <x v="247"/>
    <x v="1"/>
    <d v="2024-11-10T00:00:00"/>
    <x v="1"/>
    <n v="5"/>
    <x v="2"/>
    <s v="No"/>
    <x v="1"/>
    <s v="No"/>
    <n v="0"/>
    <n v="1"/>
    <x v="4"/>
  </r>
  <r>
    <n v="3490"/>
    <x v="248"/>
    <x v="0"/>
    <d v="2024-11-11T00:00:00"/>
    <x v="0"/>
    <n v="15"/>
    <x v="0"/>
    <s v="Yes"/>
    <x v="0"/>
    <s v="Yes"/>
    <n v="20"/>
    <n v="15"/>
    <x v="14"/>
  </r>
  <r>
    <n v="3491"/>
    <x v="249"/>
    <x v="2"/>
    <d v="2024-11-12T00:00:00"/>
    <x v="1"/>
    <n v="10"/>
    <x v="0"/>
    <s v="No"/>
    <x v="1"/>
    <s v="Yes"/>
    <n v="20"/>
    <n v="5"/>
    <x v="13"/>
  </r>
  <r>
    <n v="3492"/>
    <x v="250"/>
    <x v="1"/>
    <d v="2024-11-13T00:00:00"/>
    <x v="0"/>
    <n v="5"/>
    <x v="1"/>
    <s v="No"/>
    <x v="1"/>
    <s v="No"/>
    <n v="0"/>
    <n v="0"/>
    <x v="1"/>
  </r>
  <r>
    <n v="3493"/>
    <x v="251"/>
    <x v="0"/>
    <d v="2024-11-14T00:00:00"/>
    <x v="1"/>
    <n v="15"/>
    <x v="2"/>
    <s v="Yes"/>
    <x v="0"/>
    <s v="Yes"/>
    <n v="20"/>
    <n v="20"/>
    <x v="8"/>
  </r>
  <r>
    <n v="3494"/>
    <x v="252"/>
    <x v="2"/>
    <d v="2024-11-15T00:00:00"/>
    <x v="0"/>
    <n v="10"/>
    <x v="2"/>
    <s v="No"/>
    <x v="1"/>
    <s v="Yes"/>
    <n v="20"/>
    <n v="12"/>
    <x v="10"/>
  </r>
  <r>
    <n v="3495"/>
    <x v="253"/>
    <x v="1"/>
    <d v="2024-11-16T00:00:00"/>
    <x v="1"/>
    <n v="5"/>
    <x v="0"/>
    <s v="No"/>
    <x v="1"/>
    <s v="No"/>
    <n v="0"/>
    <n v="2"/>
    <x v="11"/>
  </r>
  <r>
    <n v="3496"/>
    <x v="254"/>
    <x v="0"/>
    <d v="2024-11-17T00:00:00"/>
    <x v="0"/>
    <n v="15"/>
    <x v="1"/>
    <s v="Yes"/>
    <x v="0"/>
    <s v="Yes"/>
    <n v="20"/>
    <n v="5"/>
    <x v="0"/>
  </r>
  <r>
    <n v="3497"/>
    <x v="255"/>
    <x v="2"/>
    <d v="2024-11-18T00:00:00"/>
    <x v="1"/>
    <n v="10"/>
    <x v="0"/>
    <s v="No"/>
    <x v="1"/>
    <s v="Yes"/>
    <n v="20"/>
    <n v="10"/>
    <x v="2"/>
  </r>
  <r>
    <n v="3498"/>
    <x v="256"/>
    <x v="1"/>
    <d v="2024-11-19T00:00:00"/>
    <x v="0"/>
    <n v="5"/>
    <x v="2"/>
    <s v="No"/>
    <x v="1"/>
    <s v="No"/>
    <n v="0"/>
    <n v="0"/>
    <x v="1"/>
  </r>
  <r>
    <n v="3499"/>
    <x v="257"/>
    <x v="0"/>
    <d v="2024-11-20T00:00:00"/>
    <x v="1"/>
    <n v="15"/>
    <x v="0"/>
    <s v="Yes"/>
    <x v="0"/>
    <s v="Yes"/>
    <n v="20"/>
    <n v="3"/>
    <x v="3"/>
  </r>
  <r>
    <n v="3500"/>
    <x v="258"/>
    <x v="2"/>
    <d v="2024-11-21T00:00:00"/>
    <x v="0"/>
    <n v="10"/>
    <x v="1"/>
    <s v="No"/>
    <x v="1"/>
    <s v="Yes"/>
    <n v="20"/>
    <n v="15"/>
    <x v="7"/>
  </r>
  <r>
    <n v="3501"/>
    <x v="259"/>
    <x v="1"/>
    <d v="2024-11-22T00:00:00"/>
    <x v="1"/>
    <n v="5"/>
    <x v="0"/>
    <s v="No"/>
    <x v="1"/>
    <s v="No"/>
    <n v="0"/>
    <n v="1"/>
    <x v="4"/>
  </r>
  <r>
    <n v="3502"/>
    <x v="260"/>
    <x v="0"/>
    <d v="2024-11-23T00:00:00"/>
    <x v="0"/>
    <n v="15"/>
    <x v="2"/>
    <s v="Yes"/>
    <x v="0"/>
    <s v="Yes"/>
    <n v="20"/>
    <n v="7"/>
    <x v="12"/>
  </r>
  <r>
    <n v="3503"/>
    <x v="119"/>
    <x v="2"/>
    <d v="2024-11-24T00:00:00"/>
    <x v="1"/>
    <n v="10"/>
    <x v="0"/>
    <s v="No"/>
    <x v="1"/>
    <s v="Yes"/>
    <n v="20"/>
    <n v="10"/>
    <x v="2"/>
  </r>
  <r>
    <n v="3504"/>
    <x v="261"/>
    <x v="1"/>
    <d v="2024-11-25T00:00:00"/>
    <x v="0"/>
    <n v="5"/>
    <x v="1"/>
    <s v="No"/>
    <x v="1"/>
    <s v="No"/>
    <n v="0"/>
    <n v="0"/>
    <x v="1"/>
  </r>
  <r>
    <n v="3505"/>
    <x v="262"/>
    <x v="0"/>
    <d v="2024-11-26T00:00:00"/>
    <x v="1"/>
    <n v="15"/>
    <x v="0"/>
    <s v="Yes"/>
    <x v="0"/>
    <s v="Yes"/>
    <n v="20"/>
    <n v="20"/>
    <x v="8"/>
  </r>
  <r>
    <n v="3506"/>
    <x v="263"/>
    <x v="2"/>
    <d v="2024-11-27T00:00:00"/>
    <x v="0"/>
    <n v="10"/>
    <x v="2"/>
    <s v="No"/>
    <x v="1"/>
    <s v="Yes"/>
    <n v="20"/>
    <n v="15"/>
    <x v="7"/>
  </r>
  <r>
    <n v="3507"/>
    <x v="264"/>
    <x v="1"/>
    <d v="2024-11-28T00:00:00"/>
    <x v="1"/>
    <n v="5"/>
    <x v="0"/>
    <s v="No"/>
    <x v="1"/>
    <s v="No"/>
    <n v="0"/>
    <n v="1"/>
    <x v="4"/>
  </r>
  <r>
    <n v="3508"/>
    <x v="265"/>
    <x v="0"/>
    <d v="2024-11-29T00:00:00"/>
    <x v="0"/>
    <n v="15"/>
    <x v="1"/>
    <s v="Yes"/>
    <x v="0"/>
    <s v="Yes"/>
    <n v="20"/>
    <n v="3"/>
    <x v="3"/>
  </r>
  <r>
    <n v="3509"/>
    <x v="266"/>
    <x v="2"/>
    <d v="2024-11-30T00:00:00"/>
    <x v="1"/>
    <n v="10"/>
    <x v="0"/>
    <s v="No"/>
    <x v="1"/>
    <s v="Yes"/>
    <n v="20"/>
    <n v="10"/>
    <x v="2"/>
  </r>
  <r>
    <n v="3510"/>
    <x v="267"/>
    <x v="1"/>
    <d v="2024-12-01T00:00:00"/>
    <x v="0"/>
    <n v="5"/>
    <x v="2"/>
    <s v="No"/>
    <x v="1"/>
    <s v="No"/>
    <n v="0"/>
    <n v="0"/>
    <x v="1"/>
  </r>
  <r>
    <n v="3511"/>
    <x v="268"/>
    <x v="0"/>
    <d v="2024-12-02T00:00:00"/>
    <x v="1"/>
    <n v="15"/>
    <x v="0"/>
    <s v="Yes"/>
    <x v="0"/>
    <s v="Yes"/>
    <n v="20"/>
    <n v="15"/>
    <x v="14"/>
  </r>
  <r>
    <n v="3512"/>
    <x v="269"/>
    <x v="2"/>
    <d v="2024-12-03T00:00:00"/>
    <x v="0"/>
    <n v="10"/>
    <x v="1"/>
    <s v="No"/>
    <x v="1"/>
    <s v="Yes"/>
    <n v="20"/>
    <n v="15"/>
    <x v="7"/>
  </r>
  <r>
    <n v="3513"/>
    <x v="270"/>
    <x v="1"/>
    <d v="2024-12-04T00:00:00"/>
    <x v="1"/>
    <n v="5"/>
    <x v="0"/>
    <s v="No"/>
    <x v="1"/>
    <s v="No"/>
    <n v="0"/>
    <n v="1"/>
    <x v="4"/>
  </r>
  <r>
    <n v="3514"/>
    <x v="271"/>
    <x v="0"/>
    <d v="2024-12-05T00:00:00"/>
    <x v="0"/>
    <n v="15"/>
    <x v="2"/>
    <s v="Yes"/>
    <x v="0"/>
    <s v="Yes"/>
    <n v="20"/>
    <n v="7"/>
    <x v="12"/>
  </r>
  <r>
    <n v="3515"/>
    <x v="130"/>
    <x v="2"/>
    <d v="2024-12-06T00:00:00"/>
    <x v="1"/>
    <n v="10"/>
    <x v="0"/>
    <s v="No"/>
    <x v="1"/>
    <s v="Yes"/>
    <n v="20"/>
    <n v="10"/>
    <x v="2"/>
  </r>
  <r>
    <n v="3516"/>
    <x v="131"/>
    <x v="1"/>
    <d v="2024-12-07T00:00:00"/>
    <x v="0"/>
    <n v="5"/>
    <x v="1"/>
    <s v="No"/>
    <x v="1"/>
    <s v="No"/>
    <n v="0"/>
    <n v="0"/>
    <x v="1"/>
  </r>
  <r>
    <n v="3517"/>
    <x v="181"/>
    <x v="0"/>
    <d v="2024-12-08T00:00:00"/>
    <x v="1"/>
    <n v="15"/>
    <x v="0"/>
    <s v="Yes"/>
    <x v="0"/>
    <s v="Yes"/>
    <n v="20"/>
    <n v="20"/>
    <x v="8"/>
  </r>
  <r>
    <n v="3518"/>
    <x v="272"/>
    <x v="2"/>
    <d v="2024-12-09T00:00:00"/>
    <x v="0"/>
    <n v="10"/>
    <x v="2"/>
    <s v="No"/>
    <x v="1"/>
    <s v="Yes"/>
    <n v="20"/>
    <n v="12"/>
    <x v="10"/>
  </r>
  <r>
    <n v="3519"/>
    <x v="273"/>
    <x v="1"/>
    <d v="2024-12-10T00:00:00"/>
    <x v="1"/>
    <n v="5"/>
    <x v="0"/>
    <s v="No"/>
    <x v="1"/>
    <s v="No"/>
    <n v="0"/>
    <n v="2"/>
    <x v="11"/>
  </r>
  <r>
    <n v="3520"/>
    <x v="274"/>
    <x v="0"/>
    <d v="2024-12-11T00:00:00"/>
    <x v="0"/>
    <n v="15"/>
    <x v="1"/>
    <s v="Yes"/>
    <x v="0"/>
    <s v="Yes"/>
    <n v="20"/>
    <n v="5"/>
    <x v="0"/>
  </r>
  <r>
    <n v="3521"/>
    <x v="275"/>
    <x v="2"/>
    <d v="2024-12-12T00:00:00"/>
    <x v="1"/>
    <n v="10"/>
    <x v="0"/>
    <s v="No"/>
    <x v="1"/>
    <s v="Yes"/>
    <n v="20"/>
    <n v="10"/>
    <x v="2"/>
  </r>
  <r>
    <n v="3522"/>
    <x v="276"/>
    <x v="1"/>
    <d v="2024-12-13T00:00:00"/>
    <x v="0"/>
    <n v="5"/>
    <x v="2"/>
    <s v="No"/>
    <x v="1"/>
    <s v="No"/>
    <n v="0"/>
    <n v="0"/>
    <x v="1"/>
  </r>
  <r>
    <n v="3523"/>
    <x v="277"/>
    <x v="0"/>
    <d v="2024-12-14T00:00:00"/>
    <x v="1"/>
    <n v="15"/>
    <x v="0"/>
    <s v="Yes"/>
    <x v="0"/>
    <s v="Yes"/>
    <n v="20"/>
    <n v="3"/>
    <x v="3"/>
  </r>
  <r>
    <n v="3524"/>
    <x v="278"/>
    <x v="2"/>
    <d v="2024-12-15T00:00:00"/>
    <x v="0"/>
    <n v="10"/>
    <x v="1"/>
    <s v="No"/>
    <x v="1"/>
    <s v="Yes"/>
    <n v="20"/>
    <n v="15"/>
    <x v="7"/>
  </r>
  <r>
    <n v="3525"/>
    <x v="279"/>
    <x v="1"/>
    <d v="2024-12-16T00:00:00"/>
    <x v="1"/>
    <n v="5"/>
    <x v="0"/>
    <s v="No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47C90-4ED9-4027-A269-5FB4EA7CC42E}" name="Tabela dinâmica2" cacheId="0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outline="1" outlineData="1" multipleFieldFilters="0" chartFormat="6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33D83-1A36-41D4-A143-8F9D936D0F24}" name="Tabela dinâmica3" cacheId="0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outline="1" outlineData="1" multipleFieldFilters="0" chartFormat="6">
  <location ref="B31:C3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C3ECE-9DD7-404F-97ED-2DF0C1535438}" name="Tabela dinâmica1" cacheId="0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outline="1" outlineData="1" multipleFieldFilters="0" chartFormat="7">
  <location ref="B10:C14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2">
    <field x="6"/>
    <field x="4"/>
  </rowFields>
  <rowItems count="4">
    <i>
      <x/>
    </i>
    <i r="1">
      <x/>
    </i>
    <i r="1"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D70511A-5161-4D84-B150-B77F90AFC0FC}" sourceName="Subscription Type">
  <pivotTables>
    <pivotTable tabId="3" name="Tabela dinâmica1"/>
    <pivotTable tabId="3" name="Tabela dinâmica2"/>
    <pivotTable tabId="3" name="Tabela dinâmica3"/>
  </pivotTables>
  <data>
    <tabular pivotCacheId="96725577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632EE35-9ADF-4E68-BE5C-A7EB1A206158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B7" sqref="B7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5:E35"/>
  <sheetViews>
    <sheetView showGridLines="0" topLeftCell="A13" workbookViewId="0">
      <selection activeCell="A4" sqref="A4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5" spans="2:3" x14ac:dyDescent="0.25">
      <c r="B5" t="s">
        <v>317</v>
      </c>
    </row>
    <row r="6" spans="2:3" x14ac:dyDescent="0.25">
      <c r="B6" t="s">
        <v>316</v>
      </c>
    </row>
    <row r="10" spans="2:3" x14ac:dyDescent="0.25">
      <c r="B10" s="12" t="s">
        <v>313</v>
      </c>
      <c r="C10" t="s">
        <v>315</v>
      </c>
    </row>
    <row r="11" spans="2:3" x14ac:dyDescent="0.25">
      <c r="B11" s="13" t="s">
        <v>24</v>
      </c>
      <c r="C11" s="14">
        <v>1754</v>
      </c>
    </row>
    <row r="12" spans="2:3" x14ac:dyDescent="0.25">
      <c r="B12" s="15" t="s">
        <v>23</v>
      </c>
      <c r="C12" s="14">
        <v>217</v>
      </c>
    </row>
    <row r="13" spans="2:3" x14ac:dyDescent="0.25">
      <c r="B13" s="15" t="s">
        <v>19</v>
      </c>
      <c r="C13" s="14">
        <v>1537</v>
      </c>
    </row>
    <row r="14" spans="2:3" x14ac:dyDescent="0.25">
      <c r="B14" s="13" t="s">
        <v>314</v>
      </c>
      <c r="C14" s="14">
        <v>1754</v>
      </c>
    </row>
    <row r="16" spans="2:3" x14ac:dyDescent="0.25">
      <c r="B16" s="13"/>
      <c r="C16" s="14"/>
    </row>
    <row r="17" spans="2:5" x14ac:dyDescent="0.25">
      <c r="B17" s="13"/>
      <c r="C17" s="14"/>
    </row>
    <row r="18" spans="2:5" x14ac:dyDescent="0.25">
      <c r="B18" t="s">
        <v>319</v>
      </c>
    </row>
    <row r="19" spans="2:5" x14ac:dyDescent="0.25">
      <c r="B19" s="12" t="s">
        <v>16</v>
      </c>
      <c r="C19" t="s">
        <v>24</v>
      </c>
    </row>
    <row r="21" spans="2:5" x14ac:dyDescent="0.25">
      <c r="B21" s="12" t="s">
        <v>313</v>
      </c>
      <c r="C21" t="s">
        <v>320</v>
      </c>
    </row>
    <row r="22" spans="2:5" x14ac:dyDescent="0.25">
      <c r="B22" s="13" t="s">
        <v>22</v>
      </c>
      <c r="C22" s="19">
        <v>0</v>
      </c>
    </row>
    <row r="23" spans="2:5" x14ac:dyDescent="0.25">
      <c r="B23" s="13" t="s">
        <v>26</v>
      </c>
      <c r="C23" s="19">
        <v>0</v>
      </c>
    </row>
    <row r="24" spans="2:5" x14ac:dyDescent="0.25">
      <c r="B24" s="13" t="s">
        <v>18</v>
      </c>
      <c r="C24" s="19">
        <v>600</v>
      </c>
    </row>
    <row r="25" spans="2:5" x14ac:dyDescent="0.25">
      <c r="B25" s="13" t="s">
        <v>314</v>
      </c>
      <c r="C25" s="19">
        <v>600</v>
      </c>
      <c r="E25" s="17">
        <f>GETPIVOTDATA("EA Play Season Pass
Price",$B$21)</f>
        <v>600</v>
      </c>
    </row>
    <row r="28" spans="2:5" x14ac:dyDescent="0.25">
      <c r="B28" t="s">
        <v>321</v>
      </c>
    </row>
    <row r="29" spans="2:5" x14ac:dyDescent="0.25">
      <c r="B29" s="12" t="s">
        <v>16</v>
      </c>
      <c r="C29" t="s">
        <v>24</v>
      </c>
    </row>
    <row r="31" spans="2:5" x14ac:dyDescent="0.25">
      <c r="B31" s="12" t="s">
        <v>313</v>
      </c>
      <c r="C31" t="s">
        <v>322</v>
      </c>
    </row>
    <row r="32" spans="2:5" x14ac:dyDescent="0.25">
      <c r="B32" s="13" t="s">
        <v>22</v>
      </c>
      <c r="C32" s="14">
        <v>0</v>
      </c>
    </row>
    <row r="33" spans="2:5" x14ac:dyDescent="0.25">
      <c r="B33" s="13" t="s">
        <v>26</v>
      </c>
      <c r="C33" s="14">
        <v>540</v>
      </c>
    </row>
    <row r="34" spans="2:5" x14ac:dyDescent="0.25">
      <c r="B34" s="13" t="s">
        <v>18</v>
      </c>
      <c r="C34" s="14">
        <v>400</v>
      </c>
    </row>
    <row r="35" spans="2:5" x14ac:dyDescent="0.25">
      <c r="B35" s="13" t="s">
        <v>314</v>
      </c>
      <c r="C35" s="14">
        <v>940</v>
      </c>
      <c r="E35" s="18">
        <f>GETPIVOTDATA("Minecraft Season Pass Price",$B$31)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pageSetUpPr autoPageBreaks="0"/>
  </sheetPr>
  <dimension ref="A2:O50"/>
  <sheetViews>
    <sheetView showFormulas="1" showGridLines="0" showRowColHeaders="0" tabSelected="1" zoomScaleNormal="100" workbookViewId="0">
      <selection activeCell="A4" sqref="A4"/>
    </sheetView>
  </sheetViews>
  <sheetFormatPr defaultRowHeight="15" x14ac:dyDescent="0.25"/>
  <cols>
    <col min="1" max="1" width="20.7109375" style="4" customWidth="1"/>
    <col min="2" max="2" width="30.85546875" bestFit="1" customWidth="1"/>
    <col min="3" max="3" width="29.7109375" bestFit="1" customWidth="1"/>
    <col min="12" max="12" width="6.5703125" customWidth="1"/>
  </cols>
  <sheetData>
    <row r="2" spans="1:15" s="20" customFormat="1" ht="54.75" customHeight="1" thickBot="1" x14ac:dyDescent="0.5">
      <c r="A2" s="4"/>
      <c r="B2" s="23" t="s">
        <v>318</v>
      </c>
      <c r="C2" s="22"/>
      <c r="D2" s="16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 ht="37.5" customHeight="1" thickTop="1" x14ac:dyDescent="0.25"/>
    <row r="4" spans="1:15" s="7" customFormat="1" x14ac:dyDescent="0.25">
      <c r="A4" s="4"/>
      <c r="B4" s="24" t="s">
        <v>323</v>
      </c>
    </row>
    <row r="5" spans="1:15" s="7" customFormat="1" x14ac:dyDescent="0.25">
      <c r="A5" s="4"/>
    </row>
    <row r="6" spans="1:15" s="7" customFormat="1" x14ac:dyDescent="0.25">
      <c r="A6" s="4"/>
    </row>
    <row r="7" spans="1:15" s="7" customFormat="1" x14ac:dyDescent="0.25">
      <c r="A7" s="4"/>
    </row>
    <row r="8" spans="1:15" s="7" customFormat="1" x14ac:dyDescent="0.25">
      <c r="A8" s="4"/>
    </row>
    <row r="9" spans="1:15" s="7" customFormat="1" x14ac:dyDescent="0.25">
      <c r="A9" s="4"/>
    </row>
    <row r="10" spans="1:15" s="7" customFormat="1" x14ac:dyDescent="0.25">
      <c r="A10" s="4"/>
    </row>
    <row r="11" spans="1:15" s="7" customFormat="1" x14ac:dyDescent="0.25">
      <c r="A11" s="4"/>
    </row>
    <row r="12" spans="1:15" s="7" customFormat="1" x14ac:dyDescent="0.25">
      <c r="A12" s="4"/>
    </row>
    <row r="13" spans="1:15" s="7" customFormat="1" x14ac:dyDescent="0.25">
      <c r="A13" s="4"/>
    </row>
    <row r="14" spans="1:15" s="7" customFormat="1" x14ac:dyDescent="0.25">
      <c r="A14" s="4"/>
    </row>
    <row r="15" spans="1:15" s="7" customFormat="1" x14ac:dyDescent="0.25">
      <c r="A15" s="4"/>
    </row>
    <row r="16" spans="1:15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ht="14.25" customHeigh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A̳ssets</vt:lpstr>
      <vt:lpstr>B̳ases</vt:lpstr>
      <vt:lpstr>C̳álculos</vt:lpstr>
      <vt:lpstr>D̳ashboard</vt:lpstr>
      <vt:lpstr>tbl_annual_total</vt:lpstr>
      <vt:lpstr>tbl_easeasonpass_total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Gisele Alves Barbosa</cp:lastModifiedBy>
  <dcterms:created xsi:type="dcterms:W3CDTF">2024-12-19T13:13:10Z</dcterms:created>
  <dcterms:modified xsi:type="dcterms:W3CDTF">2026-10-18T19:45:24Z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